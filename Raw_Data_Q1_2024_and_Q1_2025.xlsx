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f5\Desktop\Programacion\Python\streamlit\"/>
    </mc:Choice>
  </mc:AlternateContent>
  <xr:revisionPtr revIDLastSave="0" documentId="13_ncr:1_{1915E88C-726A-41BA-BB3A-92C99A4D6FD0}" xr6:coauthVersionLast="47" xr6:coauthVersionMax="47" xr10:uidLastSave="{00000000-0000-0000-0000-000000000000}"/>
  <bookViews>
    <workbookView xWindow="-120" yWindow="-120" windowWidth="29040" windowHeight="15840" tabRatio="837" xr2:uid="{B16029B8-93F4-4F75-8C14-5C6D2298791A}"/>
  </bookViews>
  <sheets>
    <sheet name="Sheet1" sheetId="1" r:id="rId1"/>
    <sheet name="DataTable" sheetId="3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</calcChain>
</file>

<file path=xl/sharedStrings.xml><?xml version="1.0" encoding="utf-8"?>
<sst xmlns="http://schemas.openxmlformats.org/spreadsheetml/2006/main" count="552" uniqueCount="71">
  <si>
    <t>Month</t>
  </si>
  <si>
    <t>VENDOR</t>
  </si>
  <si>
    <t>Name of the campaign</t>
  </si>
  <si>
    <t>Campaign Title</t>
  </si>
  <si>
    <t>Group</t>
  </si>
  <si>
    <t>Total leads Loaded</t>
  </si>
  <si>
    <t># of Dials/ Attempts</t>
  </si>
  <si>
    <t>Penetration Rate</t>
  </si>
  <si>
    <t>Contact Rate</t>
  </si>
  <si>
    <t># Hours Assigned</t>
  </si>
  <si>
    <t>Total Cost</t>
  </si>
  <si>
    <t>Acq Sales</t>
  </si>
  <si>
    <t>Non Acq Sales</t>
  </si>
  <si>
    <t>Close rate</t>
  </si>
  <si>
    <t>Revenue</t>
  </si>
  <si>
    <t>Mobile</t>
  </si>
  <si>
    <t>E/R Ratio</t>
  </si>
  <si>
    <t>Revenue Sale</t>
  </si>
  <si>
    <t>Asurion</t>
  </si>
  <si>
    <t>HEP&amp;S</t>
  </si>
  <si>
    <t>PPNS</t>
  </si>
  <si>
    <t>ERC</t>
  </si>
  <si>
    <t>Abandoned Caller</t>
  </si>
  <si>
    <t>Acquisition</t>
  </si>
  <si>
    <t xml:space="preserve">-   </t>
  </si>
  <si>
    <t xml:space="preserve"> -   </t>
  </si>
  <si>
    <t>Cancel</t>
  </si>
  <si>
    <t>CVT Insufficient Info</t>
  </si>
  <si>
    <t>HOT MOVE</t>
  </si>
  <si>
    <t>Inbound Follow Up</t>
  </si>
  <si>
    <t>Web Follow Up</t>
  </si>
  <si>
    <t>FTTH_PPNS</t>
  </si>
  <si>
    <t>Past Pending</t>
  </si>
  <si>
    <t>Recovery</t>
  </si>
  <si>
    <t>FTTH_Cancel</t>
  </si>
  <si>
    <t>FTTH Cancel</t>
  </si>
  <si>
    <t>Fiber Migration</t>
  </si>
  <si>
    <t>Fiber Migrations</t>
  </si>
  <si>
    <t>Upgrade</t>
  </si>
  <si>
    <t>Missing Payments Pre Call</t>
  </si>
  <si>
    <t>Future pending</t>
  </si>
  <si>
    <t>Proactive Pending</t>
  </si>
  <si>
    <t>-</t>
  </si>
  <si>
    <t>PPNS OC</t>
  </si>
  <si>
    <t xml:space="preserve">$-   </t>
  </si>
  <si>
    <t xml:space="preserve"> $-   </t>
  </si>
  <si>
    <t>Mobile ACQ</t>
  </si>
  <si>
    <t>OB Swivel</t>
  </si>
  <si>
    <t>Total Care</t>
  </si>
  <si>
    <t>Inbound Follow UP</t>
  </si>
  <si>
    <t>Cancel - ACQ</t>
  </si>
  <si>
    <t>Hot Move</t>
  </si>
  <si>
    <t>Optimum  - 1P Only ACQ</t>
  </si>
  <si>
    <t>1P Mobile</t>
  </si>
  <si>
    <t xml:space="preserve">Winback </t>
  </si>
  <si>
    <t>Optimum  - 1P/2P Video/Phone ACQ</t>
  </si>
  <si>
    <t>1P Video Phone</t>
  </si>
  <si>
    <t>Missing Pre Call</t>
  </si>
  <si>
    <t>PPNS - ACQ</t>
  </si>
  <si>
    <t>PPNS - UPG</t>
  </si>
  <si>
    <t>Future Pending</t>
  </si>
  <si>
    <t>Mobile Acq</t>
  </si>
  <si>
    <t>Missing Payment No Scheduled</t>
  </si>
  <si>
    <t>Optimum - Total Care</t>
  </si>
  <si>
    <t>Mobile Only Customers</t>
  </si>
  <si>
    <t>Row Labels</t>
  </si>
  <si>
    <t>Grand Total</t>
  </si>
  <si>
    <t>Average of Contact Rate</t>
  </si>
  <si>
    <t>Average of Close rate</t>
  </si>
  <si>
    <t>Revenue per hour</t>
  </si>
  <si>
    <t>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</si>
</sst>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C0E6F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C0E6F5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0" pivotButton="1" applyNumberFormat="1"/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10" fontId="2" fillId="3" borderId="1" xfId="0" applyNumberFormat="1" applyFont="1" applyFill="1" applyBorder="1" applyAlignment="1">
      <alignment horizontal="left"/>
    </xf>
    <xf numFmtId="8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wrapText="1" readingOrder="1"/>
    </xf>
    <xf numFmtId="0" fontId="2" fillId="3" borderId="3" xfId="0" applyFont="1" applyFill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10" fontId="2" fillId="0" borderId="1" xfId="0" applyNumberFormat="1" applyFont="1" applyBorder="1" applyAlignment="1">
      <alignment horizontal="left"/>
    </xf>
    <xf numFmtId="8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wrapText="1" readingOrder="1"/>
    </xf>
    <xf numFmtId="0" fontId="2" fillId="0" borderId="3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10" fontId="2" fillId="4" borderId="1" xfId="0" applyNumberFormat="1" applyFont="1" applyFill="1" applyBorder="1" applyAlignment="1">
      <alignment horizontal="left"/>
    </xf>
    <xf numFmtId="8" fontId="2" fillId="4" borderId="1" xfId="0" applyNumberFormat="1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4" fontId="2" fillId="3" borderId="1" xfId="0" applyNumberFormat="1" applyFont="1" applyFill="1" applyBorder="1" applyAlignment="1">
      <alignment horizontal="left"/>
    </xf>
    <xf numFmtId="10" fontId="2" fillId="11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wrapText="1" readingOrder="1"/>
    </xf>
    <xf numFmtId="0" fontId="2" fillId="10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9" fontId="2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8" fontId="4" fillId="3" borderId="1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8" fontId="4" fillId="0" borderId="1" xfId="0" applyNumberFormat="1" applyFont="1" applyBorder="1" applyAlignment="1">
      <alignment horizontal="left"/>
    </xf>
    <xf numFmtId="3" fontId="5" fillId="3" borderId="1" xfId="0" applyNumberFormat="1" applyFont="1" applyFill="1" applyBorder="1" applyAlignment="1">
      <alignment horizontal="left"/>
    </xf>
    <xf numFmtId="9" fontId="5" fillId="3" borderId="1" xfId="0" applyNumberFormat="1" applyFont="1" applyFill="1" applyBorder="1" applyAlignment="1">
      <alignment horizontal="left"/>
    </xf>
    <xf numFmtId="10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8" fontId="5" fillId="3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9" fontId="5" fillId="0" borderId="1" xfId="0" applyNumberFormat="1" applyFont="1" applyBorder="1" applyAlignment="1">
      <alignment horizontal="left"/>
    </xf>
    <xf numFmtId="10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8" fontId="5" fillId="0" borderId="1" xfId="0" applyNumberFormat="1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14" fontId="2" fillId="7" borderId="2" xfId="0" applyNumberFormat="1" applyFont="1" applyFill="1" applyBorder="1" applyAlignment="1">
      <alignment horizontal="left"/>
    </xf>
    <xf numFmtId="3" fontId="5" fillId="7" borderId="1" xfId="0" applyNumberFormat="1" applyFont="1" applyFill="1" applyBorder="1" applyAlignment="1">
      <alignment horizontal="left"/>
    </xf>
    <xf numFmtId="9" fontId="5" fillId="7" borderId="1" xfId="0" applyNumberFormat="1" applyFont="1" applyFill="1" applyBorder="1" applyAlignment="1">
      <alignment horizontal="left"/>
    </xf>
    <xf numFmtId="10" fontId="5" fillId="7" borderId="1" xfId="0" applyNumberFormat="1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8" fontId="5" fillId="7" borderId="1" xfId="0" applyNumberFormat="1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8" fontId="4" fillId="7" borderId="1" xfId="0" applyNumberFormat="1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7" borderId="0" xfId="0" applyFill="1" applyAlignment="1">
      <alignment horizontal="left"/>
    </xf>
    <xf numFmtId="14" fontId="2" fillId="0" borderId="7" xfId="0" applyNumberFormat="1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9" fontId="5" fillId="0" borderId="8" xfId="0" applyNumberFormat="1" applyFont="1" applyBorder="1" applyAlignment="1">
      <alignment horizontal="left"/>
    </xf>
    <xf numFmtId="10" fontId="5" fillId="0" borderId="8" xfId="0" applyNumberFormat="1" applyFont="1" applyBorder="1" applyAlignment="1">
      <alignment horizontal="left"/>
    </xf>
    <xf numFmtId="8" fontId="5" fillId="0" borderId="8" xfId="0" applyNumberFormat="1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8" fontId="0" fillId="0" borderId="0" xfId="0" applyNumberFormat="1" applyAlignment="1">
      <alignment horizontal="left"/>
    </xf>
  </cellXfs>
  <cellStyles count="1">
    <cellStyle name="Normal" xfId="0" builtinId="0"/>
  </cellStyles>
  <dxfs count="31">
    <dxf>
      <alignment horizontal="left" textRotation="0" indent="0" justifyLastLine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/>
    </dxf>
    <dxf>
      <alignment horizontal="left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2" formatCode="&quot;$&quot;#,##0.00_);[Red]\(&quot;$&quot;#,##0.00\)"/>
      <alignment horizontal="left" textRotation="0" indent="0" justifyLastLine="0" shrinkToFit="0"/>
    </dxf>
    <dxf>
      <alignment horizontal="left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4" formatCode="0.00%"/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2" formatCode="&quot;$&quot;#,##0.00_);[Red]\(&quot;$&quot;#,##0.00\)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4" formatCode="0.00%"/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3" formatCode="0%"/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/>
    </dxf>
    <dxf>
      <alignment horizontal="left" textRotation="0" indent="0" justifyLastLine="0" shrinkToFit="0"/>
    </dxf>
    <dxf>
      <alignment horizontal="left" textRotation="0" indent="0" justifyLastLine="0" shrinkToFit="0"/>
    </dxf>
    <dxf>
      <alignment horizontal="left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/yyyy"/>
      <alignment horizontal="left" textRotation="0" indent="0" justifyLastLine="0" shrinkToFit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56082"/>
          <bgColor rgb="FF15608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[data1.xlsx]DataTable!PivotTable26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DataTable!$K$13</c:f>
              <c:strCache>
                <c:ptCount val="1"/>
                <c:pt idx="0">
                  <c:v>Average of Contact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DataTable!$J$14:$J$39</c:f>
              <c:strCache>
                <c:ptCount val="25"/>
                <c:pt idx="0">
                  <c:v>Abandoned Caller</c:v>
                </c:pt>
                <c:pt idx="1">
                  <c:v>Cancel</c:v>
                </c:pt>
                <c:pt idx="2">
                  <c:v>Cancel - ACQ</c:v>
                </c:pt>
                <c:pt idx="3">
                  <c:v>CVT Insufficient Info</c:v>
                </c:pt>
                <c:pt idx="4">
                  <c:v>Fiber Migration</c:v>
                </c:pt>
                <c:pt idx="5">
                  <c:v>FTTH_Cancel</c:v>
                </c:pt>
                <c:pt idx="6">
                  <c:v>FTTH_PPNS</c:v>
                </c:pt>
                <c:pt idx="7">
                  <c:v>Future pending</c:v>
                </c:pt>
                <c:pt idx="8">
                  <c:v>HOT MOVE</c:v>
                </c:pt>
                <c:pt idx="9">
                  <c:v>Inbound Follow Up</c:v>
                </c:pt>
                <c:pt idx="10">
                  <c:v>Missing Payment No Scheduled</c:v>
                </c:pt>
                <c:pt idx="11">
                  <c:v>Missing Payments Pre Call</c:v>
                </c:pt>
                <c:pt idx="12">
                  <c:v>Mobile ACQ</c:v>
                </c:pt>
                <c:pt idx="13">
                  <c:v>Mobile Only Customers</c:v>
                </c:pt>
                <c:pt idx="14">
                  <c:v>OB Swivel</c:v>
                </c:pt>
                <c:pt idx="15">
                  <c:v>Optimum  - 1P Only ACQ</c:v>
                </c:pt>
                <c:pt idx="16">
                  <c:v>Optimum  - 1P/2P Video/Phone ACQ</c:v>
                </c:pt>
                <c:pt idx="17">
                  <c:v>Optimum - Total Care</c:v>
                </c:pt>
                <c:pt idx="18">
                  <c:v>PPNS</c:v>
                </c:pt>
                <c:pt idx="19">
                  <c:v>PPNS - ACQ</c:v>
                </c:pt>
                <c:pt idx="20">
                  <c:v>PPNS - UPG</c:v>
                </c:pt>
                <c:pt idx="21">
                  <c:v>PPNS OC</c:v>
                </c:pt>
                <c:pt idx="22">
                  <c:v>Proactive Pending</c:v>
                </c:pt>
                <c:pt idx="23">
                  <c:v>Web Follow Up</c:v>
                </c:pt>
                <c:pt idx="24">
                  <c:v>Winback </c:v>
                </c:pt>
              </c:strCache>
            </c:strRef>
          </c:cat>
          <c:val>
            <c:numRef>
              <c:f>DataTable!$K$14:$K$39</c:f>
              <c:numCache>
                <c:formatCode>0%</c:formatCode>
                <c:ptCount val="25"/>
                <c:pt idx="0">
                  <c:v>6.8600000000000008E-2</c:v>
                </c:pt>
                <c:pt idx="1">
                  <c:v>0.15290000000000001</c:v>
                </c:pt>
                <c:pt idx="2">
                  <c:v>0.10576666666666666</c:v>
                </c:pt>
                <c:pt idx="3">
                  <c:v>7.8516666666666665E-2</c:v>
                </c:pt>
                <c:pt idx="4">
                  <c:v>0.12508333333333332</c:v>
                </c:pt>
                <c:pt idx="5">
                  <c:v>5.6083333333333339E-2</c:v>
                </c:pt>
                <c:pt idx="6">
                  <c:v>6.8883333333333338E-2</c:v>
                </c:pt>
                <c:pt idx="7">
                  <c:v>0.13056000000000001</c:v>
                </c:pt>
                <c:pt idx="8">
                  <c:v>4.1599999999999998E-2</c:v>
                </c:pt>
                <c:pt idx="9">
                  <c:v>8.1150000000000014E-2</c:v>
                </c:pt>
                <c:pt idx="10">
                  <c:v>0.21540000000000004</c:v>
                </c:pt>
                <c:pt idx="11">
                  <c:v>0.1948</c:v>
                </c:pt>
                <c:pt idx="12">
                  <c:v>9.5499999999999995E-3</c:v>
                </c:pt>
                <c:pt idx="13">
                  <c:v>3.3999999999999998E-3</c:v>
                </c:pt>
                <c:pt idx="14">
                  <c:v>#N/A</c:v>
                </c:pt>
                <c:pt idx="15">
                  <c:v>9.2200000000000004E-2</c:v>
                </c:pt>
                <c:pt idx="16">
                  <c:v>5.9999999999999995E-4</c:v>
                </c:pt>
                <c:pt idx="17">
                  <c:v>5.7999999999999996E-3</c:v>
                </c:pt>
                <c:pt idx="18">
                  <c:v>0.11030000000000001</c:v>
                </c:pt>
                <c:pt idx="19">
                  <c:v>0.36113333333333331</c:v>
                </c:pt>
                <c:pt idx="20">
                  <c:v>0.27743333333333337</c:v>
                </c:pt>
                <c:pt idx="21">
                  <c:v>4.4933333333333332E-2</c:v>
                </c:pt>
                <c:pt idx="22">
                  <c:v>0.17899999999999996</c:v>
                </c:pt>
                <c:pt idx="23">
                  <c:v>5.3949999999999998E-2</c:v>
                </c:pt>
                <c:pt idx="24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2-43CC-8EA7-6023290C2255}"/>
            </c:ext>
          </c:extLst>
        </c:ser>
        <c:ser>
          <c:idx val="1"/>
          <c:order val="1"/>
          <c:tx>
            <c:strRef>
              <c:f>DataTable!$L$13</c:f>
              <c:strCache>
                <c:ptCount val="1"/>
                <c:pt idx="0">
                  <c:v>Average of Close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DataTable!$J$14:$J$39</c:f>
              <c:strCache>
                <c:ptCount val="25"/>
                <c:pt idx="0">
                  <c:v>Abandoned Caller</c:v>
                </c:pt>
                <c:pt idx="1">
                  <c:v>Cancel</c:v>
                </c:pt>
                <c:pt idx="2">
                  <c:v>Cancel - ACQ</c:v>
                </c:pt>
                <c:pt idx="3">
                  <c:v>CVT Insufficient Info</c:v>
                </c:pt>
                <c:pt idx="4">
                  <c:v>Fiber Migration</c:v>
                </c:pt>
                <c:pt idx="5">
                  <c:v>FTTH_Cancel</c:v>
                </c:pt>
                <c:pt idx="6">
                  <c:v>FTTH_PPNS</c:v>
                </c:pt>
                <c:pt idx="7">
                  <c:v>Future pending</c:v>
                </c:pt>
                <c:pt idx="8">
                  <c:v>HOT MOVE</c:v>
                </c:pt>
                <c:pt idx="9">
                  <c:v>Inbound Follow Up</c:v>
                </c:pt>
                <c:pt idx="10">
                  <c:v>Missing Payment No Scheduled</c:v>
                </c:pt>
                <c:pt idx="11">
                  <c:v>Missing Payments Pre Call</c:v>
                </c:pt>
                <c:pt idx="12">
                  <c:v>Mobile ACQ</c:v>
                </c:pt>
                <c:pt idx="13">
                  <c:v>Mobile Only Customers</c:v>
                </c:pt>
                <c:pt idx="14">
                  <c:v>OB Swivel</c:v>
                </c:pt>
                <c:pt idx="15">
                  <c:v>Optimum  - 1P Only ACQ</c:v>
                </c:pt>
                <c:pt idx="16">
                  <c:v>Optimum  - 1P/2P Video/Phone ACQ</c:v>
                </c:pt>
                <c:pt idx="17">
                  <c:v>Optimum - Total Care</c:v>
                </c:pt>
                <c:pt idx="18">
                  <c:v>PPNS</c:v>
                </c:pt>
                <c:pt idx="19">
                  <c:v>PPNS - ACQ</c:v>
                </c:pt>
                <c:pt idx="20">
                  <c:v>PPNS - UPG</c:v>
                </c:pt>
                <c:pt idx="21">
                  <c:v>PPNS OC</c:v>
                </c:pt>
                <c:pt idx="22">
                  <c:v>Proactive Pending</c:v>
                </c:pt>
                <c:pt idx="23">
                  <c:v>Web Follow Up</c:v>
                </c:pt>
                <c:pt idx="24">
                  <c:v>Winback </c:v>
                </c:pt>
              </c:strCache>
            </c:strRef>
          </c:cat>
          <c:val>
            <c:numRef>
              <c:f>DataTable!$L$14:$L$39</c:f>
              <c:numCache>
                <c:formatCode>0%</c:formatCode>
                <c:ptCount val="25"/>
                <c:pt idx="0">
                  <c:v>4.5333333333333337E-3</c:v>
                </c:pt>
                <c:pt idx="1">
                  <c:v>5.2899999999999996E-2</c:v>
                </c:pt>
                <c:pt idx="2">
                  <c:v>0.10576666666666666</c:v>
                </c:pt>
                <c:pt idx="3">
                  <c:v>9.2649999999999996E-2</c:v>
                </c:pt>
                <c:pt idx="4">
                  <c:v>0.11176666666666667</c:v>
                </c:pt>
                <c:pt idx="5">
                  <c:v>8.9666666666666662E-3</c:v>
                </c:pt>
                <c:pt idx="6">
                  <c:v>2.6266666666666664E-2</c:v>
                </c:pt>
                <c:pt idx="7">
                  <c:v>7.8599999999999989E-2</c:v>
                </c:pt>
                <c:pt idx="8">
                  <c:v>3.4083333333333334E-2</c:v>
                </c:pt>
                <c:pt idx="9">
                  <c:v>0.11353333333333333</c:v>
                </c:pt>
                <c:pt idx="10">
                  <c:v>0.21540000000000004</c:v>
                </c:pt>
                <c:pt idx="11">
                  <c:v>0.15203333333333335</c:v>
                </c:pt>
                <c:pt idx="12">
                  <c:v>0</c:v>
                </c:pt>
                <c:pt idx="13">
                  <c:v>3.3999999999999998E-3</c:v>
                </c:pt>
                <c:pt idx="15">
                  <c:v>9.2200000000000004E-2</c:v>
                </c:pt>
                <c:pt idx="16">
                  <c:v>0</c:v>
                </c:pt>
                <c:pt idx="17">
                  <c:v>5.7999999999999996E-3</c:v>
                </c:pt>
                <c:pt idx="18">
                  <c:v>7.9633333333333334E-2</c:v>
                </c:pt>
                <c:pt idx="19">
                  <c:v>0.36113333333333331</c:v>
                </c:pt>
                <c:pt idx="20">
                  <c:v>0.27743333333333337</c:v>
                </c:pt>
                <c:pt idx="21">
                  <c:v>0</c:v>
                </c:pt>
                <c:pt idx="22">
                  <c:v>0</c:v>
                </c:pt>
                <c:pt idx="23">
                  <c:v>7.7566666666666673E-2</c:v>
                </c:pt>
                <c:pt idx="24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2-43CC-8EA7-6023290C2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4530256"/>
        <c:axId val="604488976"/>
        <c:axId val="0"/>
      </c:bar3DChart>
      <c:catAx>
        <c:axId val="60453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88976"/>
        <c:crosses val="autoZero"/>
        <c:auto val="1"/>
        <c:lblAlgn val="ctr"/>
        <c:lblOffset val="100"/>
        <c:noMultiLvlLbl val="0"/>
      </c:catAx>
      <c:valAx>
        <c:axId val="60448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3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695324</xdr:colOff>
      <xdr:row>11</xdr:row>
      <xdr:rowOff>176212</xdr:rowOff>
    </xdr:from>
    <xdr:to>
      <xdr:col>27</xdr:col>
      <xdr:colOff>342900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918AF-E89C-06AE-E73F-12A012F34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ALBERTO SANCHEZ LEBRON" refreshedDate="45777.921882175928" createdVersion="8" refreshedVersion="8" minRefreshableVersion="3" recordCount="101" xr:uid="{781953C5-205C-49FC-8DDE-6641248288DB}">
  <cacheSource type="worksheet">
    <worksheetSource name="Table1"/>
  </cacheSource>
  <cacheFields count="24">
    <cacheField name="Month" numFmtId="14">
      <sharedItems containsSemiMixedTypes="0" containsNonDate="0" containsDate="1" containsString="0" minDate="2024-01-01T00:00:00" maxDate="2025-04-01T00:00:00"/>
    </cacheField>
    <cacheField name="VENDOR" numFmtId="0">
      <sharedItems/>
    </cacheField>
    <cacheField name="Name of the campaign" numFmtId="0">
      <sharedItems count="25">
        <s v="Abandoned Caller"/>
        <s v="Cancel"/>
        <s v="CVT Insufficient Info"/>
        <s v="HOT MOVE"/>
        <s v="Inbound Follow Up"/>
        <s v="Web Follow Up"/>
        <s v="FTTH_PPNS"/>
        <s v="FTTH_Cancel"/>
        <s v="Fiber Migration"/>
        <s v="Missing Payments Pre Call"/>
        <s v="Future pending"/>
        <s v="Proactive Pending"/>
        <s v="PPNS"/>
        <s v="PPNS OC"/>
        <s v="Mobile ACQ"/>
        <s v="OB Swivel"/>
        <s v="Cancel - ACQ"/>
        <s v="Optimum  - 1P Only ACQ"/>
        <s v="Winback "/>
        <s v="Optimum  - 1P/2P Video/Phone ACQ"/>
        <s v="PPNS - ACQ"/>
        <s v="PPNS - UPG"/>
        <s v="Missing Payment No Scheduled"/>
        <s v="Optimum - Total Care"/>
        <s v="Mobile Only Customers"/>
      </sharedItems>
    </cacheField>
    <cacheField name="Campaign Title" numFmtId="0">
      <sharedItems/>
    </cacheField>
    <cacheField name="Group" numFmtId="0">
      <sharedItems/>
    </cacheField>
    <cacheField name="Total leads Loaded" numFmtId="0">
      <sharedItems containsMixedTypes="1" containsNumber="1" containsInteger="1" minValue="0" maxValue="329792"/>
    </cacheField>
    <cacheField name="# of Dials/ Attempts" numFmtId="0">
      <sharedItems containsString="0" containsBlank="1" containsNumber="1" containsInteger="1" minValue="0" maxValue="2740192"/>
    </cacheField>
    <cacheField name="Contacts " numFmtId="0">
      <sharedItems containsSemiMixedTypes="0" containsString="0" containsNumber="1" containsInteger="1" minValue="1" maxValue="73660"/>
    </cacheField>
    <cacheField name="Penetration Rate" numFmtId="0">
      <sharedItems containsString="0" containsBlank="1" containsNumber="1" minValue="0" maxValue="0.98"/>
    </cacheField>
    <cacheField name="Contact Rate" numFmtId="0">
      <sharedItems containsMixedTypes="1" containsNumber="1" minValue="0" maxValue="0.40770000000000001"/>
    </cacheField>
    <cacheField name="# Hours Assigned" numFmtId="0">
      <sharedItems containsMixedTypes="1" containsNumber="1" minValue="0" maxValue="12341.9"/>
    </cacheField>
    <cacheField name="Total Cost" numFmtId="0">
      <sharedItems containsMixedTypes="1" containsNumber="1" minValue="0" maxValue="203641.62"/>
    </cacheField>
    <cacheField name="Acq Sales" numFmtId="0">
      <sharedItems containsBlank="1" containsMixedTypes="1" containsNumber="1" containsInteger="1" minValue="0" maxValue="233"/>
    </cacheField>
    <cacheField name="Non Acq Sales" numFmtId="0">
      <sharedItems containsBlank="1" containsMixedTypes="1" containsNumber="1" containsInteger="1" minValue="0" maxValue="4928"/>
    </cacheField>
    <cacheField name="Close rate" numFmtId="0">
      <sharedItems containsString="0" containsBlank="1" containsNumber="1" minValue="0" maxValue="0.40770000000000001"/>
    </cacheField>
    <cacheField name="Revenue per Hour" numFmtId="0">
      <sharedItems containsMixedTypes="1" containsNumber="1" minValue="0" maxValue="278.06666666666666"/>
    </cacheField>
    <cacheField name="Revenue" numFmtId="0">
      <sharedItems containsMixedTypes="1" containsNumber="1" minValue="0" maxValue="51896.800000000003"/>
    </cacheField>
    <cacheField name="Mobile" numFmtId="0">
      <sharedItems containsMixedTypes="1" containsNumber="1" containsInteger="1" minValue="0" maxValue="345"/>
    </cacheField>
    <cacheField name="E/R Ratio" numFmtId="0">
      <sharedItems containsBlank="1" containsMixedTypes="1" containsNumber="1" minValue="0" maxValue="990.47"/>
    </cacheField>
    <cacheField name="Revenue Sale" numFmtId="0">
      <sharedItems containsBlank="1" containsMixedTypes="1" containsNumber="1" minValue="0" maxValue="154.91999999999999"/>
    </cacheField>
    <cacheField name="Asurion" numFmtId="0">
      <sharedItems containsBlank="1" containsMixedTypes="1" containsNumber="1" containsInteger="1" minValue="0" maxValue="1721"/>
    </cacheField>
    <cacheField name="HEP&amp;S" numFmtId="0">
      <sharedItems containsBlank="1" containsMixedTypes="1" containsNumber="1" containsInteger="1" minValue="0" maxValue="788"/>
    </cacheField>
    <cacheField name="PPNS" numFmtId="0">
      <sharedItems containsBlank="1" containsMixedTypes="1" containsNumber="1" containsInteger="1" minValue="0" maxValue="1012"/>
    </cacheField>
    <cacheField name="Total Car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d v="2024-01-01T00:00:00"/>
    <s v="ERC"/>
    <x v="0"/>
    <s v="Abandoned Caller"/>
    <s v="Acquisition"/>
    <n v="1346"/>
    <n v="5547"/>
    <n v="336"/>
    <n v="0.56799999999999995"/>
    <n v="6.0600000000000001E-2"/>
    <n v="193.2"/>
    <n v="3187.34"/>
    <s v="-   "/>
    <s v=" -   "/>
    <n v="0"/>
    <n v="3.8632273545290943"/>
    <n v="50.01"/>
    <s v="-   "/>
    <n v="63.73"/>
    <e v="#DIV/0!"/>
    <n v="2"/>
    <s v=" -   "/>
    <n v="2"/>
    <m/>
  </r>
  <r>
    <d v="2024-01-01T00:00:00"/>
    <s v="ERC"/>
    <x v="1"/>
    <s v="Cancel"/>
    <s v="Acquisition"/>
    <n v="1715"/>
    <n v="5591"/>
    <n v="949"/>
    <n v="0.69199999999999995"/>
    <n v="0.16969999999999999"/>
    <n v="471.7"/>
    <n v="7782.53"/>
    <n v="51"/>
    <m/>
    <n v="5.2999999999999999E-2"/>
    <n v="0.11687458962573867"/>
    <n v="4035.95"/>
    <s v="-   "/>
    <n v="1.93"/>
    <n v="79.14"/>
    <n v="2"/>
    <n v="1"/>
    <n v="1"/>
    <m/>
  </r>
  <r>
    <d v="2024-01-01T00:00:00"/>
    <s v="ERC"/>
    <x v="2"/>
    <s v="CVT Insufficient Info"/>
    <s v="Acquisition"/>
    <n v="3674"/>
    <n v="13931"/>
    <n v="1251"/>
    <n v="0.749"/>
    <n v="8.9800000000000005E-2"/>
    <n v="730.1"/>
    <n v="12046.11"/>
    <n v="134"/>
    <s v=" -   "/>
    <n v="0.107"/>
    <n v="7.5346261531301056E-2"/>
    <n v="9689.93"/>
    <n v="8"/>
    <n v="1.24"/>
    <n v="72.31"/>
    <n v="2"/>
    <s v="-   "/>
    <n v="2"/>
    <m/>
  </r>
  <r>
    <d v="2024-01-01T00:00:00"/>
    <s v="ERC"/>
    <x v="3"/>
    <s v="HOT MOVE"/>
    <s v="Acquisition"/>
    <n v="2086"/>
    <n v="6262"/>
    <n v="495"/>
    <n v="0.46500000000000002"/>
    <n v="7.9000000000000001E-2"/>
    <n v="329.1"/>
    <n v="5430.01"/>
    <n v="14"/>
    <s v=" -   "/>
    <n v="2.8000000000000001E-2"/>
    <n v="0.38179983062055528"/>
    <n v="861.97"/>
    <s v="-   "/>
    <n v="6.3"/>
    <n v="61.57"/>
    <n v="1"/>
    <n v="1"/>
    <s v=" -   "/>
    <m/>
  </r>
  <r>
    <d v="2024-01-01T00:00:00"/>
    <s v="ERC"/>
    <x v="4"/>
    <s v="Inbound Follow Up"/>
    <s v="Acquisition"/>
    <n v="2919"/>
    <n v="9183"/>
    <n v="915"/>
    <n v="0.70899999999999996"/>
    <n v="9.9599999999999994E-2"/>
    <n v="715"/>
    <n v="11796.74"/>
    <n v="145"/>
    <s v=" -   "/>
    <n v="0.159"/>
    <n v="7.1529684819199968E-2"/>
    <n v="9995.85"/>
    <n v="19"/>
    <n v="1.18"/>
    <n v="68.94"/>
    <n v="8"/>
    <n v="2"/>
    <n v="6"/>
    <m/>
  </r>
  <r>
    <d v="2024-01-01T00:00:00"/>
    <s v="ERC"/>
    <x v="5"/>
    <s v="Web Follow Up"/>
    <s v="Acquisition"/>
    <n v="1586"/>
    <n v="6510"/>
    <n v="421"/>
    <n v="0.64"/>
    <n v="6.4699999999999994E-2"/>
    <n v="754.6"/>
    <n v="12451.14"/>
    <n v="42"/>
    <s v=" -   "/>
    <n v="0.1"/>
    <n v="0.23076523169795629"/>
    <n v="3269.99"/>
    <n v="1"/>
    <n v="3.81"/>
    <n v="77.86"/>
    <s v=" -   "/>
    <s v=" -   "/>
    <s v=" -   "/>
    <m/>
  </r>
  <r>
    <d v="2024-01-01T00:00:00"/>
    <s v="ERC"/>
    <x v="6"/>
    <s v="Past Pending"/>
    <s v="Recovery"/>
    <n v="2879"/>
    <n v="7809"/>
    <n v="1084"/>
    <n v="0.73299999999999998"/>
    <n v="0.13880000000000001"/>
    <n v="277.39999999999998"/>
    <n v="4577.26"/>
    <s v="-   "/>
    <n v="225"/>
    <n v="0"/>
    <n v="2.4412631556714484E-2"/>
    <n v="11362.97"/>
    <s v="-   "/>
    <n v="0.4"/>
    <n v="50.5"/>
    <s v=" -   "/>
    <s v=" -   "/>
    <s v=" -   "/>
    <m/>
  </r>
  <r>
    <d v="2024-01-01T00:00:00"/>
    <s v="ERC"/>
    <x v="7"/>
    <s v="FTTH Cancel"/>
    <s v="Recovery"/>
    <n v="2287"/>
    <n v="6242"/>
    <n v="612"/>
    <n v="0.69"/>
    <n v="9.8000000000000004E-2"/>
    <n v="184.3"/>
    <n v="3040.48"/>
    <m/>
    <n v="21"/>
    <n v="0"/>
    <n v="1.4977651361235271"/>
    <n v="123.05"/>
    <s v="-   "/>
    <n v="24.71"/>
    <e v="#DIV/0!"/>
    <n v="3"/>
    <s v=" -   "/>
    <n v="3"/>
    <m/>
  </r>
  <r>
    <d v="2024-01-01T00:00:00"/>
    <s v="ERC"/>
    <x v="8"/>
    <s v="Fiber Migrations"/>
    <s v="Upgrade"/>
    <s v="-   "/>
    <n v="2740192"/>
    <n v="73660"/>
    <n v="6.4000000000000001E-2"/>
    <n v="2.69E-2"/>
    <n v="12341.9"/>
    <n v="203641.62"/>
    <m/>
    <n v="4928"/>
    <n v="0"/>
    <n v="2.0135313272904063"/>
    <n v="6129.48"/>
    <n v="181"/>
    <n v="33.22"/>
    <n v="1.24"/>
    <n v="1721"/>
    <n v="709"/>
    <n v="1012"/>
    <m/>
  </r>
  <r>
    <d v="2024-01-01T00:00:00"/>
    <s v="ERC"/>
    <x v="9"/>
    <s v="Missing Payments Pre Call"/>
    <s v="Recovery"/>
    <n v="5524"/>
    <n v="8717"/>
    <n v="1910"/>
    <n v="0.76900000000000002"/>
    <n v="0.21909999999999999"/>
    <n v="544.29999999999995"/>
    <n v="8981.52"/>
    <m/>
    <n v="321"/>
    <n v="0"/>
    <n v="2.0633837522271502E-2"/>
    <n v="26379"/>
    <n v="4"/>
    <n v="0.34"/>
    <n v="82.18"/>
    <n v="11"/>
    <n v="2"/>
    <n v="9"/>
    <m/>
  </r>
  <r>
    <d v="2024-01-01T00:00:00"/>
    <s v="ERC"/>
    <x v="10"/>
    <s v="Past Pending"/>
    <s v="Recovery"/>
    <n v="4483"/>
    <n v="14241"/>
    <n v="1503"/>
    <n v="0.63800000000000001"/>
    <n v="0.1055"/>
    <n v="255.6"/>
    <n v="4216.5200000000004"/>
    <m/>
    <n v="34"/>
    <n v="0"/>
    <n v="0.22149814551630906"/>
    <n v="1153.96"/>
    <n v="1"/>
    <n v="3.65"/>
    <n v="33.94"/>
    <n v="1"/>
    <s v=" -   "/>
    <n v="1"/>
    <m/>
  </r>
  <r>
    <d v="2024-01-01T00:00:00"/>
    <s v="ERC"/>
    <x v="11"/>
    <s v="Past Pending"/>
    <s v="Recovery"/>
    <n v="1226"/>
    <n v="2521"/>
    <n v="499"/>
    <n v="0.77300000000000002"/>
    <n v="0.19789999999999999"/>
    <n v="408.3"/>
    <n v="6737.36"/>
    <m/>
    <n v="245"/>
    <n v="0"/>
    <e v="#DIV/0!"/>
    <n v="0"/>
    <n v="3"/>
    <s v="-"/>
    <n v="0"/>
    <n v="3"/>
    <n v="2"/>
    <n v="1"/>
    <m/>
  </r>
  <r>
    <d v="2024-01-01T00:00:00"/>
    <s v="ERC"/>
    <x v="12"/>
    <s v="Past Pending"/>
    <s v="Recovery"/>
    <n v="7751"/>
    <n v="29810"/>
    <n v="3567"/>
    <n v="0.90100000000000002"/>
    <n v="0.1197"/>
    <n v="788.6"/>
    <n v="13011.66"/>
    <m/>
    <n v="924"/>
    <n v="0"/>
    <n v="1.519554192165991E-2"/>
    <n v="51896.800000000003"/>
    <n v="28"/>
    <n v="0.25"/>
    <n v="56.17"/>
    <s v=" -   "/>
    <s v=" -   "/>
    <s v=" -   "/>
    <m/>
  </r>
  <r>
    <d v="2024-01-01T00:00:00"/>
    <s v="ERC"/>
    <x v="13"/>
    <s v="Past Pending"/>
    <s v="Recovery"/>
    <n v="400"/>
    <n v="641"/>
    <n v="77"/>
    <n v="0.72"/>
    <n v="0.1201"/>
    <n v="50.5"/>
    <n v="833.09"/>
    <m/>
    <n v="9"/>
    <n v="0"/>
    <n v="7.0334261838440118E-2"/>
    <n v="718"/>
    <s v="-   "/>
    <n v="1.1599999999999999"/>
    <n v="79.78"/>
    <n v="1"/>
    <n v="1"/>
    <s v=" -   "/>
    <m/>
  </r>
  <r>
    <d v="2024-02-01T00:00:00"/>
    <s v="ERC"/>
    <x v="6"/>
    <s v="Past Pending"/>
    <s v="Recovery"/>
    <n v="1979"/>
    <n v="5490"/>
    <n v="781"/>
    <n v="0.59599999999999997"/>
    <n v="0.14230000000000001"/>
    <n v="191.5"/>
    <n v="3159.66"/>
    <m/>
    <s v="-   "/>
    <n v="0"/>
    <n v="2.4466121129657667E-2"/>
    <n v="7827.15"/>
    <s v="-   "/>
    <n v="0.4"/>
    <e v="#DIV/0!"/>
    <s v="-   "/>
    <s v=" -   "/>
    <s v=" -   "/>
    <m/>
  </r>
  <r>
    <d v="2024-02-01T00:00:00"/>
    <s v="ERC"/>
    <x v="7"/>
    <s v="FTTH Cancel"/>
    <s v="Recovery"/>
    <n v="2072"/>
    <n v="5867"/>
    <n v="649"/>
    <n v="0.57999999999999996"/>
    <n v="0.1106"/>
    <n v="250"/>
    <n v="4124.17"/>
    <m/>
    <n v="14"/>
    <n v="0"/>
    <n v="8.0385852090032159"/>
    <n v="31.1"/>
    <s v="-   "/>
    <n v="132.61000000000001"/>
    <e v="#DIV/0!"/>
    <n v="3"/>
    <s v=" -   "/>
    <n v="3"/>
    <m/>
  </r>
  <r>
    <d v="2024-02-01T00:00:00"/>
    <s v="ERC"/>
    <x v="8"/>
    <s v="Fiber Migrations"/>
    <s v="Upgrade"/>
    <s v="-   "/>
    <n v="2430009"/>
    <n v="64150"/>
    <n v="0.59599999999999997"/>
    <n v="2.64E-2"/>
    <n v="10793.6"/>
    <n v="178094.98"/>
    <m/>
    <s v="-   "/>
    <n v="0"/>
    <n v="2.3807066068490315"/>
    <n v="4533.78"/>
    <n v="173"/>
    <n v="39.28"/>
    <e v="#DIV/0!"/>
    <n v="1101"/>
    <n v="417"/>
    <n v="684"/>
    <m/>
  </r>
  <r>
    <d v="2024-02-01T00:00:00"/>
    <s v="ERC"/>
    <x v="9"/>
    <s v="Missing Payments Pre Call"/>
    <s v="Recovery"/>
    <n v="5160"/>
    <n v="13841"/>
    <n v="1852"/>
    <n v="0.84899999999999998"/>
    <n v="0.1338"/>
    <n v="431.2"/>
    <n v="7114.84"/>
    <m/>
    <s v="-   "/>
    <n v="0"/>
    <n v="1.3735371128963413E-2"/>
    <n v="31393.4"/>
    <n v="8"/>
    <n v="0.23"/>
    <e v="#DIV/0!"/>
    <n v="12"/>
    <n v="4"/>
    <n v="8"/>
    <m/>
  </r>
  <r>
    <d v="2024-02-01T00:00:00"/>
    <s v="ERC"/>
    <x v="11"/>
    <s v="Past Pending"/>
    <s v="Recovery"/>
    <n v="3403"/>
    <n v="6321"/>
    <n v="1082"/>
    <n v="0.84099999999999997"/>
    <n v="0.17119999999999999"/>
    <n v="305.39999999999998"/>
    <n v="5038.43"/>
    <m/>
    <s v="-   "/>
    <n v="0"/>
    <e v="#DIV/0!"/>
    <n v="0"/>
    <s v="-   "/>
    <s v="-"/>
    <e v="#DIV/0!"/>
    <n v="4"/>
    <n v="1"/>
    <n v="3"/>
    <m/>
  </r>
  <r>
    <d v="2024-02-01T00:00:00"/>
    <s v="ERC"/>
    <x v="12"/>
    <s v="Past Pending"/>
    <s v="Recovery"/>
    <n v="6408"/>
    <n v="25742"/>
    <n v="2818"/>
    <n v="0.88300000000000001"/>
    <n v="0.1095"/>
    <n v="768.7"/>
    <n v="12683.63"/>
    <m/>
    <s v="-   "/>
    <n v="0"/>
    <n v="2.4188937408017058E-2"/>
    <n v="31778.99"/>
    <n v="77"/>
    <n v="0.4"/>
    <e v="#DIV/0!"/>
    <s v="-   "/>
    <s v=" -   "/>
    <s v=" -   "/>
    <m/>
  </r>
  <r>
    <d v="2024-02-01T00:00:00"/>
    <s v="ERC"/>
    <x v="0"/>
    <s v="Abandoned Caller"/>
    <s v="Acquisition"/>
    <n v="775"/>
    <n v="3089"/>
    <n v="279"/>
    <n v="0.60499999999999998"/>
    <n v="9.0300000000000005E-2"/>
    <n v="417.1"/>
    <n v="1485.71"/>
    <n v="2"/>
    <m/>
    <n v="7.0000000000000001E-3"/>
    <n v="278.06666666666666"/>
    <n v="1.5"/>
    <s v="-   "/>
    <n v="990.47"/>
    <n v="0.75"/>
    <s v=" -   "/>
    <s v=" -   "/>
    <s v=" -   "/>
    <m/>
  </r>
  <r>
    <d v="2024-02-01T00:00:00"/>
    <s v="ERC"/>
    <x v="1"/>
    <s v="Cancel"/>
    <s v="Acquisition"/>
    <n v="2090"/>
    <n v="10128"/>
    <n v="1494"/>
    <n v="0.80800000000000005"/>
    <n v="0.14749999999999999"/>
    <n v="683.6"/>
    <n v="11278.96"/>
    <n v="88"/>
    <m/>
    <n v="5.8999999999999997E-2"/>
    <n v="9.844172339258174E-2"/>
    <n v="6944.21"/>
    <n v="5"/>
    <n v="1.62"/>
    <n v="78.91"/>
    <n v="3"/>
    <m/>
    <n v="3"/>
    <m/>
  </r>
  <r>
    <d v="2024-02-01T00:00:00"/>
    <s v="ERC"/>
    <x v="2"/>
    <s v="CVT Insufficient Info"/>
    <s v="Acquisition"/>
    <n v="3975"/>
    <n v="22869"/>
    <n v="1926"/>
    <n v="0.84"/>
    <n v="8.4199999999999997E-2"/>
    <n v="1344"/>
    <n v="22175.73"/>
    <n v="233"/>
    <m/>
    <n v="0.121"/>
    <n v="8.0829610099371105E-2"/>
    <n v="16627.57"/>
    <n v="41"/>
    <n v="1.33"/>
    <n v="71.36"/>
    <n v="1"/>
    <m/>
    <n v="1"/>
    <m/>
  </r>
  <r>
    <d v="2024-02-01T00:00:00"/>
    <s v="ERC"/>
    <x v="3"/>
    <s v="HOT MOVE"/>
    <s v="Acquisition"/>
    <n v="2931"/>
    <n v="20390"/>
    <n v="899"/>
    <n v="0.621"/>
    <n v="4.41E-2"/>
    <n v="620.9"/>
    <n v="10244.52"/>
    <n v="27"/>
    <m/>
    <n v="0.03"/>
    <n v="0.28883906142423849"/>
    <n v="2149.64"/>
    <s v="-   "/>
    <n v="4.7699999999999996"/>
    <n v="79.62"/>
    <n v="1"/>
    <n v="1"/>
    <s v=" -   "/>
    <m/>
  </r>
  <r>
    <d v="2024-02-01T00:00:00"/>
    <s v="ERC"/>
    <x v="4"/>
    <s v="Inbound Follow Up"/>
    <s v="Acquisition"/>
    <n v="3022"/>
    <n v="17569"/>
    <n v="1392"/>
    <n v="0.83699999999999997"/>
    <n v="7.9200000000000007E-2"/>
    <n v="1378.1"/>
    <n v="22738.67"/>
    <n v="203"/>
    <m/>
    <n v="0.14599999999999999"/>
    <n v="0.10487432356023253"/>
    <n v="13140.49"/>
    <n v="16"/>
    <n v="1.73"/>
    <n v="64.73"/>
    <n v="2"/>
    <n v="2"/>
    <m/>
    <m/>
  </r>
  <r>
    <d v="2024-02-01T00:00:00"/>
    <s v="ERC"/>
    <x v="5"/>
    <s v="Web Follow Up"/>
    <s v="Acquisition"/>
    <n v="1221"/>
    <n v="7439"/>
    <n v="466"/>
    <n v="0.75900000000000001"/>
    <n v="6.2600000000000003E-2"/>
    <n v="951.1"/>
    <n v="15692.64"/>
    <n v="49"/>
    <m/>
    <n v="0.105"/>
    <n v="0.29455122050926297"/>
    <n v="3228.98"/>
    <n v="1"/>
    <n v="4.8600000000000003"/>
    <n v="65.900000000000006"/>
    <s v=" -   "/>
    <s v=" -   "/>
    <s v=" -   "/>
    <m/>
  </r>
  <r>
    <d v="2024-02-01T00:00:00"/>
    <s v="ERC"/>
    <x v="13"/>
    <s v="Past Pending"/>
    <s v="Recovery"/>
    <n v="292"/>
    <n v="656"/>
    <n v="62"/>
    <n v="0.47099999999999997"/>
    <n v="9.4500000000000001E-2"/>
    <n v="25.8"/>
    <n v="425.5"/>
    <m/>
    <s v="-   "/>
    <n v="0"/>
    <n v="0.64500000000000002"/>
    <n v="40"/>
    <s v="-   "/>
    <n v="10.64"/>
    <e v="#DIV/0!"/>
    <s v="-   "/>
    <s v=" -   "/>
    <s v=" -   "/>
    <m/>
  </r>
  <r>
    <d v="2024-03-01T00:00:00"/>
    <s v="ERC"/>
    <x v="4"/>
    <s v="Inbound Follow Up"/>
    <s v="Acquisition"/>
    <n v="3075"/>
    <n v="23485"/>
    <n v="1658"/>
    <n v="0.91400000000000003"/>
    <n v="7.0599999999999996E-2"/>
    <n v="1596"/>
    <n v="26340.09"/>
    <n v="230"/>
    <m/>
    <n v="0.13869999999999999"/>
    <n v="0.1021268753655387"/>
    <n v="15627.62"/>
    <n v="33"/>
    <n v="1.69"/>
    <n v="67.95"/>
    <n v="5"/>
    <n v="2"/>
    <n v="3"/>
    <m/>
  </r>
  <r>
    <d v="2024-03-01T00:00:00"/>
    <s v="ERC"/>
    <x v="2"/>
    <s v="CVT Insufficient Info"/>
    <s v="Acquisition"/>
    <n v="3824"/>
    <n v="27383"/>
    <n v="1899"/>
    <n v="0.90900000000000003"/>
    <n v="6.93E-2"/>
    <n v="1570"/>
    <n v="25903.95"/>
    <n v="190"/>
    <m/>
    <n v="0.10009999999999999"/>
    <n v="0.11664996169869092"/>
    <n v="13459.07"/>
    <n v="14"/>
    <n v="1.92"/>
    <n v="70.84"/>
    <n v="1"/>
    <n v="1"/>
    <s v=" -   "/>
    <m/>
  </r>
  <r>
    <d v="2024-03-01T00:00:00"/>
    <s v="ERC"/>
    <x v="5"/>
    <s v="Web Follow Up"/>
    <s v="Acquisition"/>
    <n v="1245"/>
    <n v="9951"/>
    <n v="481"/>
    <n v="0.85299999999999998"/>
    <n v="4.8300000000000003E-2"/>
    <n v="1117"/>
    <n v="18431.060000000001"/>
    <n v="54"/>
    <m/>
    <n v="0.1123"/>
    <n v="0.38279643591501028"/>
    <n v="2918"/>
    <n v="3"/>
    <n v="6.32"/>
    <n v="54.04"/>
    <s v=" -   "/>
    <s v=" -   "/>
    <s v=" -   "/>
    <m/>
  </r>
  <r>
    <d v="2024-03-01T00:00:00"/>
    <s v="ERC"/>
    <x v="0"/>
    <s v="Abandoned Caller"/>
    <s v="Acquisition"/>
    <n v="576"/>
    <n v="5555"/>
    <n v="305"/>
    <n v="0.55000000000000004"/>
    <n v="5.4899999999999997E-2"/>
    <n v="180"/>
    <n v="2966.29"/>
    <n v="2"/>
    <m/>
    <n v="6.6E-3"/>
    <n v="3.2673806498457068"/>
    <n v="55.09"/>
    <n v="1"/>
    <n v="53.84"/>
    <n v="27.55"/>
    <n v="2"/>
    <n v="1"/>
    <n v="1"/>
    <m/>
  </r>
  <r>
    <d v="2024-03-01T00:00:00"/>
    <s v="ERC"/>
    <x v="1"/>
    <s v="Cancel"/>
    <s v="Acquisition"/>
    <n v="2073"/>
    <n v="12111"/>
    <n v="1714"/>
    <n v="0.90500000000000003"/>
    <n v="0.14149999999999999"/>
    <n v="1222"/>
    <n v="20170.86"/>
    <n v="80"/>
    <m/>
    <n v="4.6699999999999998E-2"/>
    <n v="0.20433689167134869"/>
    <n v="5980.32"/>
    <s v="-   "/>
    <n v="3.37"/>
    <n v="74.75"/>
    <n v="11"/>
    <n v="3"/>
    <n v="8"/>
    <m/>
  </r>
  <r>
    <d v="2024-03-01T00:00:00"/>
    <s v="ERC"/>
    <x v="3"/>
    <s v="HOT MOVE"/>
    <s v="Acquisition"/>
    <n v="2685"/>
    <n v="40460"/>
    <n v="868"/>
    <n v="0.65600000000000003"/>
    <n v="2.1499999999999998E-2"/>
    <n v="919"/>
    <n v="15166.6"/>
    <n v="36"/>
    <m/>
    <n v="4.1500000000000002E-2"/>
    <n v="0.35393663032301048"/>
    <n v="2596.5100000000002"/>
    <s v="-   "/>
    <n v="5.84"/>
    <n v="72.13"/>
    <n v="1"/>
    <n v="1"/>
    <s v="-   "/>
    <m/>
  </r>
  <r>
    <d v="2024-03-01T00:00:00"/>
    <s v="ERC"/>
    <x v="9"/>
    <s v="Missing Payments Pre Call"/>
    <s v="Recovery"/>
    <n v="5280"/>
    <n v="18824"/>
    <n v="2310"/>
    <n v="0.97099999999999997"/>
    <n v="0.1227"/>
    <n v="934"/>
    <n v="15409.36"/>
    <m/>
    <m/>
    <n v="0.219"/>
    <n v="2.7135701751327734E-2"/>
    <n v="34419.599999999999"/>
    <n v="7"/>
    <n v="0.45"/>
    <e v="#DIV/0!"/>
    <n v="13"/>
    <n v="3"/>
    <n v="10"/>
    <m/>
  </r>
  <r>
    <d v="2024-03-01T00:00:00"/>
    <s v="ERC"/>
    <x v="12"/>
    <s v="Past Pending"/>
    <s v="Recovery"/>
    <n v="5729"/>
    <n v="27823"/>
    <n v="2830"/>
    <n v="0.92200000000000004"/>
    <n v="0.1017"/>
    <n v="1224"/>
    <n v="20190.740000000002"/>
    <m/>
    <m/>
    <n v="0.2389"/>
    <n v="3.757986873450099E-2"/>
    <n v="32570.63"/>
    <n v="23"/>
    <n v="0.62"/>
    <e v="#DIV/0!"/>
    <n v="3"/>
    <n v="1"/>
    <n v="2"/>
    <m/>
  </r>
  <r>
    <d v="2024-03-01T00:00:00"/>
    <s v="ERC"/>
    <x v="13"/>
    <s v="Past Pending"/>
    <s v="Recovery"/>
    <n v="372"/>
    <n v="763"/>
    <n v="42"/>
    <n v="0.28199999999999997"/>
    <n v="5.5E-2"/>
    <n v="132"/>
    <n v="2176.6"/>
    <m/>
    <m/>
    <n v="0"/>
    <e v="#VALUE!"/>
    <s v="$-   "/>
    <s v=" -   "/>
    <s v="-"/>
    <e v="#VALUE!"/>
    <s v="-   "/>
    <s v=" -   "/>
    <m/>
    <m/>
  </r>
  <r>
    <d v="2024-03-01T00:00:00"/>
    <s v="ERC"/>
    <x v="6"/>
    <s v="Past Pending"/>
    <s v="Recovery"/>
    <n v="891"/>
    <n v="5138"/>
    <n v="679"/>
    <n v="0.92100000000000004"/>
    <n v="0.13220000000000001"/>
    <n v="324"/>
    <n v="5337.8"/>
    <m/>
    <m/>
    <n v="0.15759999999999999"/>
    <n v="9.6887344539172082E-2"/>
    <n v="3344.09"/>
    <n v="1"/>
    <n v="1.6"/>
    <e v="#DIV/0!"/>
    <s v="-   "/>
    <s v=" -   "/>
    <m/>
    <m/>
  </r>
  <r>
    <d v="2024-03-01T00:00:00"/>
    <s v="ERC"/>
    <x v="11"/>
    <s v="Past Pending"/>
    <s v="Recovery"/>
    <n v="3378"/>
    <n v="7713"/>
    <n v="1295"/>
    <n v="0.90600000000000003"/>
    <n v="0.16789999999999999"/>
    <n v="635"/>
    <n v="10481.36"/>
    <m/>
    <m/>
    <n v="0"/>
    <e v="#VALUE!"/>
    <s v="$-   "/>
    <n v="14"/>
    <s v="-"/>
    <e v="#VALUE!"/>
    <n v="15"/>
    <n v="2"/>
    <n v="13"/>
    <m/>
  </r>
  <r>
    <d v="2024-03-01T00:00:00"/>
    <s v="ERC"/>
    <x v="7"/>
    <s v="FTTH Cancel"/>
    <s v="Recovery"/>
    <n v="1067"/>
    <n v="5297"/>
    <n v="516"/>
    <n v="0.82699999999999996"/>
    <n v="9.74E-2"/>
    <n v="242"/>
    <n v="3987.39"/>
    <m/>
    <n v="12"/>
    <n v="2.3300000000000001E-2"/>
    <n v="0.62459672215769779"/>
    <n v="387.45"/>
    <s v="-   "/>
    <n v="10.29"/>
    <e v="#DIV/0!"/>
    <n v="4"/>
    <n v="2"/>
    <n v="2"/>
    <m/>
  </r>
  <r>
    <d v="2024-03-01T00:00:00"/>
    <s v="ERC"/>
    <x v="8"/>
    <s v="Fiber Migrations"/>
    <s v="Upgrade"/>
    <s v="-   "/>
    <n v="387283"/>
    <n v="10283"/>
    <n v="0"/>
    <n v="2.6599999999999999E-2"/>
    <s v="-   "/>
    <s v=" $-   "/>
    <m/>
    <m/>
    <n v="0"/>
    <e v="#VALUE!"/>
    <n v="847.78"/>
    <n v="62"/>
    <s v="-"/>
    <e v="#DIV/0!"/>
    <n v="147"/>
    <n v="70"/>
    <n v="77"/>
    <m/>
  </r>
  <r>
    <d v="2024-03-01T00:00:00"/>
    <s v="ERC"/>
    <x v="10"/>
    <s v="Past Pending"/>
    <s v="Recovery"/>
    <n v="4743"/>
    <n v="10202"/>
    <n v="1574"/>
    <n v="0.94299999999999995"/>
    <n v="0.15429999999999999"/>
    <n v="516"/>
    <n v="8509.92"/>
    <m/>
    <m/>
    <n v="0"/>
    <n v="0.16055160053766118"/>
    <n v="3213.92"/>
    <n v="5"/>
    <n v="2.65"/>
    <e v="#DIV/0!"/>
    <n v="8"/>
    <n v="1"/>
    <n v="7"/>
    <m/>
  </r>
  <r>
    <d v="2024-03-01T00:00:00"/>
    <s v="ERC"/>
    <x v="14"/>
    <s v="Mobile ACQ"/>
    <s v="Upgrade"/>
    <n v="329792"/>
    <n v="1334340"/>
    <n v="50993"/>
    <n v="0.58399999999999996"/>
    <n v="3.8199999999999998E-2"/>
    <n v="8375"/>
    <n v="138189.25"/>
    <m/>
    <m/>
    <n v="0"/>
    <n v="0.81795097177458731"/>
    <n v="10239"/>
    <n v="248"/>
    <n v="13.5"/>
    <e v="#DIV/0!"/>
    <m/>
    <m/>
    <m/>
    <m/>
  </r>
  <r>
    <d v="2024-03-01T00:00:00"/>
    <s v="ERC"/>
    <x v="15"/>
    <s v="OB Swivel"/>
    <s v="Upgrade"/>
    <n v="395"/>
    <m/>
    <n v="395"/>
    <m/>
    <e v="#DIV/0!"/>
    <n v="40"/>
    <n v="330"/>
    <m/>
    <n v="12"/>
    <m/>
    <n v="2.1517060339216455E-2"/>
    <n v="1858.99"/>
    <n v="1"/>
    <n v="0.18"/>
    <n v="154.91999999999999"/>
    <m/>
    <m/>
    <m/>
    <m/>
  </r>
  <r>
    <d v="2025-01-31T00:00:00"/>
    <s v="ERC"/>
    <x v="4"/>
    <s v="Inbound Follow Up"/>
    <s v="Acquisition"/>
    <n v="2715"/>
    <n v="23098"/>
    <n v="2522"/>
    <n v="0.94"/>
    <n v="7.85E-2"/>
    <n v="1293.1820029999999"/>
    <n v="21337.5"/>
    <n v="198"/>
    <m/>
    <n v="7.85E-2"/>
    <n v="0.10856246777374164"/>
    <n v="11911.87"/>
    <n v="23"/>
    <n v="1.79"/>
    <n v="60.16"/>
    <n v="3"/>
    <n v="2"/>
    <n v="0"/>
    <m/>
  </r>
  <r>
    <d v="2025-01-31T00:00:00"/>
    <s v="ERC"/>
    <x v="2"/>
    <s v="CVT Insufficient Info"/>
    <s v="Acquisition"/>
    <n v="3686"/>
    <n v="26822"/>
    <n v="2878"/>
    <n v="0.94"/>
    <n v="6.8500000000000005E-2"/>
    <n v="2889.7699739999998"/>
    <n v="47681.2"/>
    <n v="197"/>
    <m/>
    <n v="6.8500000000000005E-2"/>
    <n v="0.24316496176789107"/>
    <n v="11883.99"/>
    <n v="20"/>
    <n v="4.01"/>
    <n v="60.32"/>
    <n v="5"/>
    <n v="4"/>
    <n v="0"/>
    <m/>
  </r>
  <r>
    <d v="2025-01-31T00:00:00"/>
    <s v="ERC"/>
    <x v="5"/>
    <s v="Web Follow Up"/>
    <s v="Acquisition"/>
    <n v="1895"/>
    <n v="9498"/>
    <n v="689"/>
    <n v="0.76"/>
    <n v="5.2200000000000003E-2"/>
    <n v="593.57246689999999"/>
    <n v="9793.9500000000007"/>
    <n v="36"/>
    <m/>
    <n v="5.2200000000000003E-2"/>
    <n v="0.2611405485701716"/>
    <n v="2273"/>
    <n v="3"/>
    <n v="4.3099999999999996"/>
    <n v="63.14"/>
    <n v="0"/>
    <n v="0"/>
    <n v="0"/>
    <m/>
  </r>
  <r>
    <d v="2025-01-31T00:00:00"/>
    <s v="ERC"/>
    <x v="16"/>
    <s v="Cancel"/>
    <s v="Acquisition"/>
    <n v="5197"/>
    <n v="9234"/>
    <n v="999"/>
    <n v="0.98"/>
    <n v="0.1321"/>
    <n v="864.97317940000005"/>
    <n v="14272.06"/>
    <n v="132"/>
    <m/>
    <n v="0.1321"/>
    <n v="9.4182927361478763E-2"/>
    <n v="9183.9699999999993"/>
    <n v="4"/>
    <n v="1.55"/>
    <n v="69.58"/>
    <n v="5"/>
    <n v="3"/>
    <n v="0"/>
    <m/>
  </r>
  <r>
    <d v="2025-01-31T00:00:00"/>
    <s v="ERC"/>
    <x v="3"/>
    <s v="HOT MOVE"/>
    <s v="Acquisition"/>
    <n v="3760"/>
    <n v="52246"/>
    <n v="1728"/>
    <n v="0.78"/>
    <n v="3.5900000000000001E-2"/>
    <n v="1243.978114"/>
    <n v="20525.64"/>
    <n v="62"/>
    <m/>
    <n v="3.5900000000000001E-2"/>
    <n v="0.33005609301165567"/>
    <n v="3768.99"/>
    <n v="4"/>
    <n v="5.45"/>
    <n v="60.79"/>
    <n v="3"/>
    <n v="2"/>
    <n v="0"/>
    <m/>
  </r>
  <r>
    <d v="2025-01-31T00:00:00"/>
    <s v="ERC"/>
    <x v="17"/>
    <s v="1P Mobile"/>
    <s v="Acquisition"/>
    <n v="0"/>
    <n v="7596"/>
    <n v="294"/>
    <n v="0.72"/>
    <n v="1.0200000000000001E-2"/>
    <n v="41.99732083"/>
    <n v="692.96"/>
    <n v="3"/>
    <m/>
    <n v="1.0200000000000001E-2"/>
    <n v="0.2019587440730945"/>
    <n v="207.95"/>
    <n v="0"/>
    <n v="3.3323192769999999"/>
    <n v="69.316666670000004"/>
    <n v="1"/>
    <n v="0"/>
    <n v="0"/>
    <m/>
  </r>
  <r>
    <d v="2025-01-31T00:00:00"/>
    <s v="ERC"/>
    <x v="18"/>
    <s v="Winback "/>
    <s v="Acquisition"/>
    <n v="0"/>
    <n v="60500"/>
    <n v="342"/>
    <n v="0.21"/>
    <n v="0"/>
    <n v="756.40959829999997"/>
    <n v="12480.76"/>
    <n v="0"/>
    <m/>
    <n v="0"/>
    <e v="#DIV/0!"/>
    <n v="0"/>
    <n v="0"/>
    <s v="-"/>
    <n v="0"/>
    <n v="0"/>
    <n v="0"/>
    <n v="0"/>
    <m/>
  </r>
  <r>
    <d v="2025-01-31T00:00:00"/>
    <s v="ERC"/>
    <x v="19"/>
    <s v="1P Video Phone"/>
    <s v="Upgrade"/>
    <n v="0"/>
    <n v="251"/>
    <n v="130"/>
    <n v="0.16"/>
    <n v="0"/>
    <n v="1089.6411009999999"/>
    <n v="17979.080000000002"/>
    <m/>
    <n v="4"/>
    <n v="0"/>
    <n v="4.3937141169354836"/>
    <n v="248"/>
    <n v="0"/>
    <n v="72.5"/>
    <n v="0"/>
    <n v="0"/>
    <n v="0"/>
    <n v="0"/>
    <m/>
  </r>
  <r>
    <d v="2025-01-31T00:00:00"/>
    <s v="ERC"/>
    <x v="9"/>
    <s v="Missing Pre Call"/>
    <s v="Recovery"/>
    <n v="16863"/>
    <n v="34999"/>
    <n v="1430"/>
    <n v="0.98"/>
    <n v="0.20280000000000001"/>
    <n v="512.16359469999998"/>
    <n v="8450.7000000000007"/>
    <m/>
    <n v="290"/>
    <n v="0.20280000000000001"/>
    <n v="2.8338666975415205E-2"/>
    <n v="18072.96"/>
    <n v="17"/>
    <n v="0.47"/>
    <n v="62.32"/>
    <n v="4"/>
    <n v="2"/>
    <n v="0"/>
    <m/>
  </r>
  <r>
    <d v="2025-01-31T00:00:00"/>
    <s v="ERC"/>
    <x v="20"/>
    <s v="Past Pending"/>
    <s v="Recovery"/>
    <n v="3599"/>
    <n v="15653"/>
    <n v="1678"/>
    <n v="0.94"/>
    <n v="0.30449999999999999"/>
    <n v="498.69044389999999"/>
    <n v="8228.39"/>
    <m/>
    <n v="511"/>
    <n v="0.30449999999999999"/>
    <n v="2.7449409658502327E-2"/>
    <n v="18167.62"/>
    <n v="9"/>
    <n v="0.45"/>
    <n v="35.549999999999997"/>
    <n v="0"/>
    <n v="0"/>
    <n v="0"/>
    <m/>
  </r>
  <r>
    <d v="2025-01-31T00:00:00"/>
    <s v="ERC"/>
    <x v="13"/>
    <s v="Past Pending"/>
    <s v="Recovery"/>
    <n v="243"/>
    <n v="390"/>
    <n v="41"/>
    <n v="0.75"/>
    <n v="0"/>
    <n v="36.93923444"/>
    <n v="609.5"/>
    <m/>
    <n v="0"/>
    <n v="0"/>
    <e v="#DIV/0!"/>
    <n v="0"/>
    <n v="1"/>
    <s v="-"/>
    <n v="0"/>
    <n v="0"/>
    <n v="0"/>
    <n v="0"/>
    <m/>
  </r>
  <r>
    <d v="2025-01-31T00:00:00"/>
    <s v="ERC"/>
    <x v="21"/>
    <s v="Past Pending"/>
    <s v="Recovery"/>
    <n v="4728"/>
    <n v="14949"/>
    <n v="395"/>
    <n v="0.77"/>
    <n v="0.3165"/>
    <n v="5.0000000000000004E-6"/>
    <n v="0"/>
    <m/>
    <n v="125"/>
    <n v="0.3165"/>
    <n v="1.3695328249627487E-9"/>
    <n v="3650.88"/>
    <n v="0"/>
    <m/>
    <m/>
    <n v="0"/>
    <n v="0"/>
    <n v="0"/>
    <m/>
  </r>
  <r>
    <d v="2025-01-31T00:00:00"/>
    <s v="ERC"/>
    <x v="6"/>
    <s v="Past Pending"/>
    <s v="Recovery"/>
    <n v="2579"/>
    <n v="8908"/>
    <n v="1439"/>
    <n v="0.89"/>
    <n v="0"/>
    <n v="659.00181750000002"/>
    <n v="10873.53"/>
    <m/>
    <n v="0"/>
    <n v="0"/>
    <e v="#DIV/0!"/>
    <n v="0"/>
    <n v="2"/>
    <s v="-"/>
    <n v="0"/>
    <n v="0"/>
    <n v="0"/>
    <n v="0"/>
    <m/>
  </r>
  <r>
    <d v="2025-01-31T00:00:00"/>
    <s v="ERC"/>
    <x v="7"/>
    <s v="FTTH Cancel"/>
    <s v="Recovery"/>
    <n v="6193"/>
    <n v="15348"/>
    <n v="1658"/>
    <n v="0.7"/>
    <n v="1.09E-2"/>
    <n v="323.79423220000001"/>
    <n v="5342.6"/>
    <m/>
    <n v="18"/>
    <n v="1.09E-2"/>
    <n v="2.6980604299641695"/>
    <n v="120.01"/>
    <n v="2"/>
    <n v="44.52"/>
    <n v="6.67"/>
    <n v="12"/>
    <n v="10"/>
    <n v="2"/>
    <m/>
  </r>
  <r>
    <d v="2025-01-31T00:00:00"/>
    <s v="ERC"/>
    <x v="8"/>
    <s v="Fiber Migrations"/>
    <s v="Upgrade"/>
    <n v="6"/>
    <n v="202015"/>
    <n v="7591"/>
    <n v="0.08"/>
    <n v="0.23499999999999999"/>
    <n v="2004.286081"/>
    <n v="33070.720000000001"/>
    <m/>
    <n v="1784"/>
    <n v="0.23499999999999999"/>
    <n v="0.213733975545669"/>
    <n v="9377.48"/>
    <n v="120"/>
    <n v="3.53"/>
    <n v="5.26"/>
    <n v="1129"/>
    <n v="788"/>
    <n v="159"/>
    <m/>
  </r>
  <r>
    <d v="2025-01-31T00:00:00"/>
    <s v="ERC"/>
    <x v="10"/>
    <s v="Future Pending"/>
    <s v="Upgrade"/>
    <n v="3674"/>
    <n v="43"/>
    <n v="82"/>
    <n v="0.21"/>
    <n v="0.1585"/>
    <n v="0"/>
    <n v="0"/>
    <m/>
    <n v="13"/>
    <n v="0.1585"/>
    <n v="0"/>
    <n v="360"/>
    <n v="7"/>
    <n v="0"/>
    <n v="27.69"/>
    <n v="0"/>
    <n v="0"/>
    <n v="0"/>
    <m/>
  </r>
  <r>
    <d v="2025-01-31T00:00:00"/>
    <s v="ERC"/>
    <x v="14"/>
    <s v="Mobile ACQ"/>
    <s v="Upgrade"/>
    <n v="0"/>
    <n v="217754"/>
    <n v="17674"/>
    <n v="0.04"/>
    <n v="0"/>
    <n v="2523.1254130000002"/>
    <n v="41631.57"/>
    <m/>
    <n v="0"/>
    <n v="0"/>
    <e v="#DIV/0!"/>
    <n v="0"/>
    <n v="268"/>
    <s v="-"/>
    <n v="0"/>
    <n v="0"/>
    <n v="0"/>
    <n v="0"/>
    <m/>
  </r>
  <r>
    <d v="2025-01-31T00:00:00"/>
    <s v="ERC"/>
    <x v="22"/>
    <s v="Past Pending"/>
    <s v="Recovery"/>
    <n v="2568"/>
    <n v="21458"/>
    <n v="2393"/>
    <n v="0.78"/>
    <n v="0.2014"/>
    <n v="710.44574309999996"/>
    <n v="11722.35476"/>
    <m/>
    <n v="482"/>
    <n v="0.2014"/>
    <n v="2.2136417580493287E-2"/>
    <n v="32093.98"/>
    <n v="0"/>
    <n v="0.36525088999999999"/>
    <n v="66.59"/>
    <n v="0"/>
    <n v="0"/>
    <n v="0"/>
    <m/>
  </r>
  <r>
    <d v="2025-01-31T00:00:00"/>
    <s v="ERC"/>
    <x v="23"/>
    <s v="Optimum - Total Care"/>
    <s v="Upgrade"/>
    <n v="0"/>
    <n v="20387"/>
    <n v="979"/>
    <n v="0.02"/>
    <n v="1.7399999999999999E-2"/>
    <n v="307.8289158"/>
    <n v="5079.177111"/>
    <m/>
    <n v="17"/>
    <n v="1.7399999999999999E-2"/>
    <n v="5.2174392508474581"/>
    <n v="59"/>
    <n v="0"/>
    <n v="86.087747640000003"/>
    <n v="3.47"/>
    <n v="17"/>
    <n v="1"/>
    <n v="0"/>
    <m/>
  </r>
  <r>
    <d v="2025-02-28T00:00:00"/>
    <s v="ERC"/>
    <x v="4"/>
    <s v="Inbound Follow Up"/>
    <s v="Acquisition"/>
    <n v="2481"/>
    <n v="20394"/>
    <n v="2236"/>
    <n v="0.92"/>
    <n v="7.6499999999999999E-2"/>
    <n v="1264.5899999999999"/>
    <n v="20865.66"/>
    <n v="171"/>
    <m/>
    <n v="7.6499999999999999E-2"/>
    <n v="0.12652238771624583"/>
    <n v="9994.99"/>
    <n v="15"/>
    <n v="2.09"/>
    <n v="58.45"/>
    <n v="1"/>
    <n v="1"/>
    <n v="0"/>
    <m/>
  </r>
  <r>
    <d v="2025-02-28T00:00:00"/>
    <s v="ERC"/>
    <x v="2"/>
    <s v="CVT Insufficient Info"/>
    <s v="Acquisition"/>
    <n v="3614"/>
    <n v="25665"/>
    <n v="2675"/>
    <n v="0.93"/>
    <n v="7.51E-2"/>
    <n v="1511.97"/>
    <n v="24947.54"/>
    <n v="201"/>
    <m/>
    <n v="7.51E-2"/>
    <n v="0.13048870370018764"/>
    <n v="11586.98"/>
    <n v="33"/>
    <n v="2.15"/>
    <n v="57.65"/>
    <n v="4"/>
    <n v="2"/>
    <n v="1"/>
    <m/>
  </r>
  <r>
    <d v="2025-02-28T00:00:00"/>
    <s v="ERC"/>
    <x v="5"/>
    <s v="Web Follow Up"/>
    <s v="Acquisition"/>
    <n v="3935"/>
    <n v="28806"/>
    <n v="1903"/>
    <n v="0.88"/>
    <n v="4.2599999999999999E-2"/>
    <n v="967.26"/>
    <n v="15959.82"/>
    <n v="81"/>
    <m/>
    <n v="4.2599999999999999E-2"/>
    <n v="0.22489188560799814"/>
    <n v="4301"/>
    <n v="10"/>
    <n v="3.71"/>
    <n v="53.1"/>
    <n v="1"/>
    <n v="1"/>
    <n v="0"/>
    <m/>
  </r>
  <r>
    <d v="2025-02-28T00:00:00"/>
    <s v="ERC"/>
    <x v="16"/>
    <s v="Cancel"/>
    <s v="Acquisition"/>
    <n v="5685"/>
    <n v="12739"/>
    <n v="1036"/>
    <n v="0.98"/>
    <n v="8.8800000000000004E-2"/>
    <n v="1165.4000000000001"/>
    <n v="19229.09"/>
    <n v="92"/>
    <m/>
    <n v="8.8800000000000004E-2"/>
    <n v="0.17339681595000744"/>
    <n v="6721"/>
    <n v="6"/>
    <n v="2.86"/>
    <n v="73.05"/>
    <n v="5"/>
    <n v="2"/>
    <n v="1"/>
    <m/>
  </r>
  <r>
    <d v="2025-02-28T00:00:00"/>
    <s v="ERC"/>
    <x v="3"/>
    <s v="HOT MOVE"/>
    <s v="Acquisition"/>
    <n v="7427"/>
    <n v="51504"/>
    <n v="1856"/>
    <n v="0.64"/>
    <n v="3.39E-2"/>
    <n v="918.29"/>
    <n v="15151.85"/>
    <n v="63"/>
    <m/>
    <n v="3.39E-2"/>
    <n v="0.25550995422863426"/>
    <n v="3593.95"/>
    <n v="2"/>
    <n v="4.22"/>
    <n v="57.05"/>
    <n v="2"/>
    <n v="1"/>
    <n v="0"/>
    <m/>
  </r>
  <r>
    <d v="2025-02-28T00:00:00"/>
    <s v="ERC"/>
    <x v="17"/>
    <s v="1P Mobile"/>
    <s v="Acquisition"/>
    <n v="0"/>
    <n v="24"/>
    <n v="47"/>
    <n v="0"/>
    <n v="2.1299999999999999E-2"/>
    <n v="0"/>
    <n v="0"/>
    <n v="1"/>
    <m/>
    <n v="2.1299999999999999E-2"/>
    <n v="0"/>
    <n v="60"/>
    <n v="0"/>
    <n v="0"/>
    <n v="60"/>
    <n v="0"/>
    <n v="0"/>
    <n v="0"/>
    <m/>
  </r>
  <r>
    <d v="2025-02-28T00:00:00"/>
    <s v="ERC"/>
    <x v="18"/>
    <s v="Winback "/>
    <s v="Acquisition"/>
    <n v="0"/>
    <n v="0"/>
    <n v="4"/>
    <n v="0.21"/>
    <n v="0"/>
    <n v="0"/>
    <n v="0"/>
    <n v="0"/>
    <m/>
    <n v="0"/>
    <e v="#DIV/0!"/>
    <n v="0"/>
    <n v="0"/>
    <s v="-"/>
    <n v="0"/>
    <n v="0"/>
    <n v="0"/>
    <n v="0"/>
    <m/>
  </r>
  <r>
    <d v="2025-02-28T00:00:00"/>
    <s v="ERC"/>
    <x v="19"/>
    <s v="1P Video Phone"/>
    <s v="Upgrade"/>
    <n v="49997"/>
    <n v="15297"/>
    <n v="1144"/>
    <n v="0.09"/>
    <n v="0"/>
    <n v="1283.75"/>
    <n v="21181.91"/>
    <m/>
    <n v="4"/>
    <n v="0"/>
    <n v="4.4267241379310347"/>
    <n v="290"/>
    <n v="0"/>
    <n v="73.040000000000006"/>
    <n v="0"/>
    <n v="0"/>
    <n v="0"/>
    <n v="0"/>
    <m/>
  </r>
  <r>
    <d v="2025-02-28T00:00:00"/>
    <s v="ERC"/>
    <x v="9"/>
    <s v="Missing Pre Call"/>
    <s v="Recovery"/>
    <n v="4580"/>
    <n v="12165"/>
    <n v="1850"/>
    <n v="0.98"/>
    <n v="0.20050000000000001"/>
    <n v="886.21"/>
    <n v="14622.47"/>
    <m/>
    <n v="371"/>
    <n v="0.20050000000000001"/>
    <n v="3.8417554482777755E-2"/>
    <n v="23067.84"/>
    <n v="21"/>
    <n v="0.63"/>
    <n v="62.18"/>
    <n v="14"/>
    <n v="4"/>
    <n v="1"/>
    <m/>
  </r>
  <r>
    <d v="2025-02-28T00:00:00"/>
    <s v="ERC"/>
    <x v="20"/>
    <s v="Past Pending"/>
    <s v="Recovery"/>
    <n v="3360"/>
    <n v="16030"/>
    <n v="1584"/>
    <n v="0.98"/>
    <n v="0.37119999999999997"/>
    <n v="560.33000000000004"/>
    <n v="9245.4"/>
    <m/>
    <n v="588"/>
    <n v="0.37119999999999997"/>
    <n v="1.8089200844268166E-2"/>
    <n v="30975.94"/>
    <n v="10"/>
    <n v="0.3"/>
    <n v="52.68"/>
    <n v="0"/>
    <n v="0"/>
    <n v="0"/>
    <m/>
  </r>
  <r>
    <d v="2025-02-28T00:00:00"/>
    <s v="ERC"/>
    <x v="13"/>
    <s v="Past Pending"/>
    <s v="Recovery"/>
    <n v="279"/>
    <n v="496"/>
    <n v="57"/>
    <n v="0.69"/>
    <n v="0"/>
    <n v="28.76"/>
    <n v="474.49"/>
    <m/>
    <n v="0"/>
    <n v="0"/>
    <e v="#DIV/0!"/>
    <n v="0"/>
    <n v="0"/>
    <s v="-"/>
    <n v="0"/>
    <n v="0"/>
    <n v="0"/>
    <n v="0"/>
    <m/>
  </r>
  <r>
    <d v="2025-02-28T00:00:00"/>
    <s v="ERC"/>
    <x v="21"/>
    <s v="Past Pending"/>
    <s v="Recovery"/>
    <n v="289"/>
    <n v="0"/>
    <n v="527"/>
    <n v="0.16"/>
    <n v="0.32450000000000001"/>
    <n v="0"/>
    <n v="0"/>
    <m/>
    <n v="171"/>
    <n v="0.32450000000000001"/>
    <n v="0"/>
    <n v="4393.8900000000003"/>
    <n v="0"/>
    <m/>
    <m/>
    <n v="0"/>
    <n v="0"/>
    <n v="0"/>
    <m/>
  </r>
  <r>
    <d v="2025-02-28T00:00:00"/>
    <s v="ERC"/>
    <x v="6"/>
    <s v="Past Pending"/>
    <s v="Recovery"/>
    <n v="9324"/>
    <n v="32140"/>
    <n v="1323"/>
    <n v="0.91"/>
    <n v="0"/>
    <n v="444.95"/>
    <n v="7341.67"/>
    <m/>
    <n v="0"/>
    <n v="0"/>
    <e v="#DIV/0!"/>
    <n v="0"/>
    <n v="0"/>
    <s v="-"/>
    <n v="0"/>
    <n v="0"/>
    <n v="0"/>
    <n v="0"/>
    <m/>
  </r>
  <r>
    <d v="2025-02-28T00:00:00"/>
    <s v="ERC"/>
    <x v="7"/>
    <s v="FTTH Cancel"/>
    <s v="Recovery"/>
    <n v="5761"/>
    <n v="27837"/>
    <n v="3021"/>
    <n v="0.95"/>
    <n v="7.6E-3"/>
    <n v="710.67"/>
    <n v="11726.09"/>
    <m/>
    <n v="23"/>
    <n v="7.6E-3"/>
    <n v="4.3849571172949959"/>
    <n v="162.07"/>
    <n v="0"/>
    <n v="72.349999999999994"/>
    <n v="7.05"/>
    <n v="8"/>
    <n v="4"/>
    <n v="3"/>
    <m/>
  </r>
  <r>
    <d v="2025-02-28T00:00:00"/>
    <s v="ERC"/>
    <x v="8"/>
    <s v="Fiber Migrations"/>
    <s v="Upgrade"/>
    <n v="0"/>
    <n v="338231"/>
    <n v="8530"/>
    <n v="0.23"/>
    <n v="0.15279999999999999"/>
    <n v="2198.0100000000002"/>
    <n v="36267.230000000003"/>
    <m/>
    <n v="1303"/>
    <n v="0.15279999999999999"/>
    <n v="0.34235582726529346"/>
    <n v="6420.25"/>
    <n v="65"/>
    <n v="5.65"/>
    <n v="4.93"/>
    <n v="664"/>
    <n v="390"/>
    <n v="121"/>
    <m/>
  </r>
  <r>
    <d v="2025-02-28T00:00:00"/>
    <s v="ERC"/>
    <x v="10"/>
    <s v="Future Pending"/>
    <s v="Upgrade"/>
    <n v="0"/>
    <n v="8"/>
    <n v="68"/>
    <n v="0.21"/>
    <n v="0.17649999999999999"/>
    <n v="0"/>
    <n v="0"/>
    <m/>
    <n v="12"/>
    <n v="0.17649999999999999"/>
    <n v="0"/>
    <n v="540.99"/>
    <n v="0"/>
    <n v="0"/>
    <n v="45.08"/>
    <n v="0"/>
    <n v="0"/>
    <n v="0"/>
    <m/>
  </r>
  <r>
    <d v="2025-02-28T00:00:00"/>
    <s v="ERC"/>
    <x v="14"/>
    <s v="Mobile ACQ"/>
    <s v="Upgrade"/>
    <n v="0"/>
    <n v="323002"/>
    <n v="25387"/>
    <n v="0.06"/>
    <n v="0"/>
    <n v="2838.21"/>
    <n v="46830.52"/>
    <m/>
    <n v="0"/>
    <n v="0"/>
    <e v="#DIV/0!"/>
    <n v="0"/>
    <n v="345"/>
    <s v="-"/>
    <n v="0"/>
    <n v="0"/>
    <n v="0"/>
    <n v="0"/>
    <m/>
  </r>
  <r>
    <d v="2025-02-28T00:00:00"/>
    <s v="ERC"/>
    <x v="22"/>
    <s v="Past Pending"/>
    <s v="Recovery"/>
    <n v="2626"/>
    <n v="19235"/>
    <n v="2346"/>
    <n v="0.88"/>
    <n v="0.18240000000000001"/>
    <n v="590.76"/>
    <n v="9747.6"/>
    <m/>
    <n v="428"/>
    <n v="0.18240000000000001"/>
    <n v="2.3271250142303794E-2"/>
    <n v="25385.83"/>
    <n v="0"/>
    <n v="0.38397810300000002"/>
    <n v="59.31"/>
    <n v="0"/>
    <n v="0"/>
    <n v="0"/>
    <m/>
  </r>
  <r>
    <d v="2025-02-28T00:00:00"/>
    <s v="ERC"/>
    <x v="23"/>
    <s v="Optimum - Total Care"/>
    <s v="Upgrade"/>
    <n v="0"/>
    <n v="4"/>
    <n v="18"/>
    <n v="0.73"/>
    <n v="0"/>
    <n v="0"/>
    <n v="0"/>
    <m/>
    <n v="0"/>
    <n v="0"/>
    <e v="#DIV/0!"/>
    <n v="0"/>
    <n v="0"/>
    <s v="-"/>
    <n v="0"/>
    <n v="0"/>
    <n v="0"/>
    <n v="0"/>
    <m/>
  </r>
  <r>
    <d v="2025-03-31T00:00:00"/>
    <s v="ERC"/>
    <x v="4"/>
    <s v="Inbound Follow Up"/>
    <s v="Acquisition"/>
    <n v="2567"/>
    <n v="21565"/>
    <n v="2316"/>
    <n v="0.91"/>
    <n v="8.2500000000000004E-2"/>
    <n v="1183.72"/>
    <n v="19531.41"/>
    <n v="191"/>
    <m/>
    <n v="8.2500000000000004E-2"/>
    <n v="0.12737924088119076"/>
    <n v="9292.8799999999992"/>
    <n v="16"/>
    <n v="2.1"/>
    <n v="48.65"/>
    <n v="6"/>
    <n v="5"/>
    <n v="0"/>
    <m/>
  </r>
  <r>
    <d v="2025-03-31T00:00:00"/>
    <s v="ERC"/>
    <x v="2"/>
    <s v="CVT Insufficient Info"/>
    <s v="Acquisition"/>
    <n v="3624"/>
    <n v="27986"/>
    <n v="2601"/>
    <n v="0.95"/>
    <n v="8.4199999999999997E-2"/>
    <n v="1458.36"/>
    <n v="24062.86"/>
    <n v="219"/>
    <m/>
    <n v="8.4199999999999997E-2"/>
    <n v="0.14865615593422821"/>
    <n v="9810.2900000000009"/>
    <n v="18"/>
    <n v="2.4500000000000002"/>
    <n v="44.8"/>
    <n v="14"/>
    <n v="8"/>
    <n v="1"/>
    <m/>
  </r>
  <r>
    <d v="2025-03-31T00:00:00"/>
    <s v="ERC"/>
    <x v="5"/>
    <s v="Web Follow Up"/>
    <s v="Acquisition"/>
    <n v="4217"/>
    <n v="29984"/>
    <n v="2083"/>
    <n v="0.91"/>
    <n v="5.33E-2"/>
    <n v="1155.8499999999999"/>
    <n v="19071.560000000001"/>
    <n v="111"/>
    <m/>
    <n v="5.33E-2"/>
    <n v="0.22854176964903608"/>
    <n v="5057.5"/>
    <n v="7"/>
    <n v="3.77"/>
    <n v="45.56"/>
    <n v="1"/>
    <n v="0"/>
    <n v="0"/>
    <m/>
  </r>
  <r>
    <d v="2025-03-31T00:00:00"/>
    <s v="ERC"/>
    <x v="16"/>
    <s v="Cancel"/>
    <s v="Acquisition"/>
    <n v="6261"/>
    <n v="12088"/>
    <n v="954"/>
    <n v="0.98"/>
    <n v="9.64E-2"/>
    <n v="983.6"/>
    <n v="16229.44"/>
    <n v="92"/>
    <m/>
    <n v="9.64E-2"/>
    <n v="0.21660665719728253"/>
    <n v="4540.95"/>
    <n v="6"/>
    <n v="3.57"/>
    <n v="49.36"/>
    <n v="3"/>
    <n v="0"/>
    <n v="0"/>
    <m/>
  </r>
  <r>
    <d v="2025-03-31T00:00:00"/>
    <s v="ERC"/>
    <x v="3"/>
    <s v="HOT MOVE"/>
    <s v="Acquisition"/>
    <n v="3501"/>
    <n v="74008"/>
    <n v="1561"/>
    <n v="0.67"/>
    <n v="3.5200000000000002E-2"/>
    <n v="1210.3399999999999"/>
    <n v="19970.61"/>
    <n v="55"/>
    <m/>
    <n v="3.5200000000000002E-2"/>
    <n v="0.4172161917138632"/>
    <n v="2900.99"/>
    <n v="0"/>
    <n v="6.88"/>
    <n v="52.75"/>
    <n v="4"/>
    <n v="1"/>
    <n v="0"/>
    <m/>
  </r>
  <r>
    <d v="2025-03-31T00:00:00"/>
    <s v="ERC"/>
    <x v="17"/>
    <s v="1P Mobile"/>
    <s v="Acquisition"/>
    <n v="0"/>
    <n v="0"/>
    <n v="102"/>
    <n v="0"/>
    <n v="0.24510000000000001"/>
    <n v="0"/>
    <n v="0"/>
    <n v="25"/>
    <m/>
    <n v="0.24510000000000001"/>
    <n v="0"/>
    <n v="609"/>
    <n v="0"/>
    <n v="0"/>
    <n v="24.36"/>
    <n v="1"/>
    <n v="0"/>
    <n v="0"/>
    <m/>
  </r>
  <r>
    <d v="2025-03-31T00:00:00"/>
    <s v="ERC"/>
    <x v="18"/>
    <s v="Winback "/>
    <s v="Acquisition"/>
    <n v="18968"/>
    <n v="188857"/>
    <n v="3819"/>
    <n v="0.84"/>
    <n v="6.0000000000000001E-3"/>
    <n v="2090.7800000000002"/>
    <n v="34497.879999999997"/>
    <n v="23"/>
    <m/>
    <n v="6.0000000000000001E-3"/>
    <n v="3.1112797619047621"/>
    <n v="672"/>
    <n v="0"/>
    <n v="51.34"/>
    <n v="29.22"/>
    <n v="1"/>
    <n v="1"/>
    <n v="0"/>
    <m/>
  </r>
  <r>
    <d v="2025-03-31T00:00:00"/>
    <s v="ERC"/>
    <x v="24"/>
    <s v="Mobile Only Customers"/>
    <s v="Acquisition"/>
    <n v="29907"/>
    <n v="197454"/>
    <n v="4993"/>
    <n v="0.44"/>
    <n v="3.3999999999999998E-3"/>
    <n v="1228.56"/>
    <n v="20271.169999999998"/>
    <n v="17"/>
    <m/>
    <n v="3.3999999999999998E-3"/>
    <n v="2.8907294117647058"/>
    <n v="425"/>
    <n v="6"/>
    <n v="47.7"/>
    <n v="25"/>
    <n v="0"/>
    <n v="0"/>
    <n v="0"/>
    <m/>
  </r>
  <r>
    <d v="2025-03-31T00:00:00"/>
    <s v="ERC"/>
    <x v="19"/>
    <s v="1P Video Phone"/>
    <s v="Upgrade"/>
    <n v="117192"/>
    <n v="239327"/>
    <n v="14935"/>
    <n v="0.16"/>
    <n v="1.8E-3"/>
    <n v="4264.1099999999997"/>
    <n v="70357.89"/>
    <m/>
    <n v="27"/>
    <n v="0"/>
    <n v="4.9182352941176468"/>
    <n v="867"/>
    <n v="13"/>
    <n v="81.150000000000006"/>
    <n v="0"/>
    <n v="0"/>
    <n v="0"/>
    <n v="0"/>
    <m/>
  </r>
  <r>
    <d v="2025-03-31T00:00:00"/>
    <s v="ERC"/>
    <x v="9"/>
    <s v="Missing Pre Call"/>
    <s v="Recovery"/>
    <n v="7838"/>
    <n v="9050"/>
    <n v="1197"/>
    <n v="0.98"/>
    <n v="0.28989999999999999"/>
    <n v="641.63"/>
    <n v="10586.87"/>
    <m/>
    <n v="347"/>
    <n v="0.28989999999999999"/>
    <n v="2.9121688107505563E-2"/>
    <n v="22032.720000000001"/>
    <n v="12"/>
    <n v="0.48"/>
    <n v="63.49"/>
    <n v="13"/>
    <n v="0"/>
    <n v="0"/>
    <m/>
  </r>
  <r>
    <d v="2025-03-31T00:00:00"/>
    <s v="ERC"/>
    <x v="20"/>
    <s v="Past Pending"/>
    <s v="Recovery"/>
    <n v="3795"/>
    <n v="14685"/>
    <n v="1462"/>
    <n v="0.91"/>
    <n v="0.40770000000000001"/>
    <n v="675.05"/>
    <n v="11138.4"/>
    <m/>
    <n v="596"/>
    <n v="0.40770000000000001"/>
    <n v="4.3084026136983013E-2"/>
    <n v="15668.22"/>
    <n v="0"/>
    <n v="0.71"/>
    <n v="26.29"/>
    <n v="0"/>
    <n v="0"/>
    <n v="0"/>
    <m/>
  </r>
  <r>
    <d v="2025-03-31T00:00:00"/>
    <s v="ERC"/>
    <x v="13"/>
    <s v="Past Pending"/>
    <s v="Recovery"/>
    <n v="404"/>
    <n v="427"/>
    <n v="52"/>
    <n v="0.49"/>
    <n v="0"/>
    <n v="27.37"/>
    <n v="451.62"/>
    <m/>
    <n v="0"/>
    <n v="0"/>
    <e v="#DIV/0!"/>
    <n v="0"/>
    <n v="0"/>
    <s v="-"/>
    <n v="0"/>
    <n v="0"/>
    <n v="0"/>
    <n v="0"/>
    <m/>
  </r>
  <r>
    <d v="2025-03-31T00:00:00"/>
    <s v="ERC"/>
    <x v="21"/>
    <s v="Past Pending"/>
    <s v="Recovery"/>
    <n v="308"/>
    <n v="2041"/>
    <n v="920"/>
    <n v="0.21"/>
    <n v="0.1913"/>
    <n v="47.3"/>
    <n v="780.42"/>
    <m/>
    <n v="176"/>
    <n v="0.1913"/>
    <n v="1.9253391731217765E-2"/>
    <n v="2456.71"/>
    <n v="0"/>
    <m/>
    <n v="13.96"/>
    <n v="0"/>
    <n v="0"/>
    <n v="0"/>
    <m/>
  </r>
  <r>
    <d v="2025-03-31T00:00:00"/>
    <s v="ERC"/>
    <x v="6"/>
    <s v="Past Pending"/>
    <s v="Recovery"/>
    <n v="2722"/>
    <n v="10480"/>
    <n v="1467"/>
    <n v="0.95"/>
    <n v="0"/>
    <n v="652.95000000000005"/>
    <n v="10773.61"/>
    <m/>
    <n v="0"/>
    <n v="0"/>
    <e v="#DIV/0!"/>
    <n v="0"/>
    <n v="0"/>
    <s v="-"/>
    <n v="0"/>
    <n v="0"/>
    <n v="0"/>
    <n v="0"/>
    <m/>
  </r>
  <r>
    <d v="2025-03-31T00:00:00"/>
    <s v="ERC"/>
    <x v="7"/>
    <s v="FTTH Cancel"/>
    <s v="Recovery"/>
    <n v="5803"/>
    <n v="18900"/>
    <n v="2004"/>
    <n v="0.94"/>
    <n v="1.2E-2"/>
    <n v="504.28"/>
    <n v="8320.69"/>
    <m/>
    <n v="24"/>
    <n v="1.2E-2"/>
    <n v="1.1311545277135999"/>
    <n v="445.81"/>
    <n v="36"/>
    <n v="18.66"/>
    <n v="18.579999999999998"/>
    <n v="11"/>
    <n v="6"/>
    <n v="3"/>
    <m/>
  </r>
  <r>
    <d v="2025-03-31T00:00:00"/>
    <s v="ERC"/>
    <x v="8"/>
    <s v="Fiber Migrations"/>
    <s v="Upgrade"/>
    <n v="4247"/>
    <n v="108128"/>
    <n v="2521"/>
    <n v="0.92"/>
    <n v="0.2828"/>
    <n v="811.23"/>
    <n v="13385.27"/>
    <m/>
    <n v="713"/>
    <n v="0.2828"/>
    <n v="0.17457595021154071"/>
    <n v="4646.8599999999997"/>
    <n v="0"/>
    <n v="2.88"/>
    <n v="6.52"/>
    <n v="479"/>
    <n v="285"/>
    <n v="80"/>
    <m/>
  </r>
  <r>
    <d v="2025-03-31T00:00:00"/>
    <s v="ERC"/>
    <x v="10"/>
    <s v="Future Pending"/>
    <s v="Upgrade"/>
    <n v="7085"/>
    <n v="7274"/>
    <n v="949"/>
    <n v="0.27"/>
    <n v="5.8000000000000003E-2"/>
    <n v="400.28"/>
    <n v="6604.67"/>
    <m/>
    <n v="55"/>
    <n v="5.8000000000000003E-2"/>
    <n v="0.30602446483180429"/>
    <n v="1308"/>
    <n v="310"/>
    <n v="5.05"/>
    <n v="23.78"/>
    <n v="7"/>
    <n v="0"/>
    <n v="0"/>
    <m/>
  </r>
  <r>
    <d v="2025-03-31T00:00:00"/>
    <s v="ERC"/>
    <x v="14"/>
    <s v="Mobile ACQ"/>
    <s v="Upgrade"/>
    <n v="0"/>
    <n v="188534"/>
    <n v="15608"/>
    <n v="0.86"/>
    <n v="0"/>
    <n v="1543.38"/>
    <n v="25465.79"/>
    <m/>
    <n v="0"/>
    <n v="0"/>
    <e v="#DIV/0!"/>
    <n v="0"/>
    <n v="0"/>
    <s v="-"/>
    <n v="0"/>
    <n v="0"/>
    <n v="0"/>
    <n v="0"/>
    <m/>
  </r>
  <r>
    <d v="2025-03-31T00:00:00"/>
    <s v="ERC"/>
    <x v="22"/>
    <s v="Past Pending"/>
    <s v="Recovery"/>
    <n v="2374"/>
    <n v="15741"/>
    <n v="1940"/>
    <n v="0.85"/>
    <n v="0.26240000000000002"/>
    <n v="480.04"/>
    <n v="7920.74"/>
    <m/>
    <n v="509"/>
    <n v="0.26240000000000002"/>
    <n v="1.6481035856655776E-2"/>
    <n v="29126.81"/>
    <n v="0"/>
    <n v="0.27"/>
    <n v="57.22"/>
    <n v="0"/>
    <n v="0"/>
    <n v="0"/>
    <m/>
  </r>
  <r>
    <d v="2025-03-31T00:00:00"/>
    <s v="ERC"/>
    <x v="23"/>
    <s v="Optimum - Total Care"/>
    <s v="Upgrade"/>
    <n v="0"/>
    <n v="0"/>
    <n v="1"/>
    <n v="0"/>
    <n v="0"/>
    <n v="0"/>
    <n v="0"/>
    <m/>
    <n v="0"/>
    <n v="0"/>
    <e v="#DIV/0!"/>
    <n v="0"/>
    <n v="0"/>
    <s v="-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F445F-738E-4841-952B-FC0C6F1B81CD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J13:L39" firstHeaderRow="0" firstDataRow="1" firstDataCol="1"/>
  <pivotFields count="24">
    <pivotField numFmtId="14" showAll="0"/>
    <pivotField showAll="0"/>
    <pivotField axis="axisRow" showAll="0">
      <items count="26">
        <item x="0"/>
        <item x="1"/>
        <item x="16"/>
        <item x="2"/>
        <item x="8"/>
        <item x="7"/>
        <item x="6"/>
        <item x="10"/>
        <item x="3"/>
        <item x="4"/>
        <item x="22"/>
        <item x="9"/>
        <item x="14"/>
        <item x="24"/>
        <item x="15"/>
        <item x="17"/>
        <item x="19"/>
        <item x="23"/>
        <item x="12"/>
        <item x="20"/>
        <item x="21"/>
        <item x="13"/>
        <item x="11"/>
        <item x="5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ntact Rate" fld="9" subtotal="average" baseField="2" baseItem="0"/>
    <dataField name="Average of Close rate" fld="14" subtotal="average" baseField="2" baseItem="0"/>
  </dataFields>
  <formats count="2">
    <format dxfId="30">
      <pivotArea field="2" type="button" dataOnly="0" labelOnly="1" outline="0" axis="axisRow" fieldPosition="0"/>
    </format>
    <format dxfId="29">
      <pivotArea collapsedLevelsAreSubtotals="1" fieldPosition="0">
        <references count="1">
          <reference field="2" count="0"/>
        </references>
      </pivotArea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74A8C-8E51-48F1-AB31-19EFE4451956}" name="Table1" displayName="Table1" ref="A1:X102" totalsRowShown="0" headerRowDxfId="28" dataDxfId="27" headerRowBorderDxfId="25" tableBorderDxfId="26" totalsRowBorderDxfId="24">
  <autoFilter ref="A1:X102" xr:uid="{F2674A8C-8E51-48F1-AB31-19EFE4451956}"/>
  <tableColumns count="24">
    <tableColumn id="1" xr3:uid="{56D55033-0EE3-4211-A34A-95133AE72CF9}" name="Month" dataDxfId="23"/>
    <tableColumn id="2" xr3:uid="{E029BE06-C843-4EFB-8622-2750FD65213B}" name="VENDOR" dataDxfId="22"/>
    <tableColumn id="3" xr3:uid="{75669E1E-2ABE-42B3-8C4C-4695E9A56450}" name="Name of the campaign" dataDxfId="21"/>
    <tableColumn id="4" xr3:uid="{27A90AF3-F7AE-46E6-BB74-03E4DA89831A}" name="Campaign Title" dataDxfId="20"/>
    <tableColumn id="5" xr3:uid="{4597B3E0-80A4-445D-BE7E-D925DBB44781}" name="Group" dataDxfId="19"/>
    <tableColumn id="6" xr3:uid="{8A68F2CE-8273-4AE3-8303-6428653A4C8C}" name="Total leads Loaded" dataDxfId="18"/>
    <tableColumn id="7" xr3:uid="{093E5278-838E-4166-A4A5-487D4E03EA8C}" name="# of Dials/ Attempts" dataDxfId="17"/>
    <tableColumn id="8" xr3:uid="{1BBF50A4-0E53-4420-BC3B-57AE443563FF}" name="Contacts" dataDxfId="16"/>
    <tableColumn id="9" xr3:uid="{720D492D-0202-42F2-B86B-9FCA54904AA0}" name="Penetration Rate" dataDxfId="15"/>
    <tableColumn id="10" xr3:uid="{08FE8B84-01B4-4DE5-BAD9-227F61BA2953}" name="Contact Rate" dataDxfId="14"/>
    <tableColumn id="11" xr3:uid="{89E39363-6BD4-42A0-B425-0E4D9253EBE7}" name="# Hours Assigned" dataDxfId="13"/>
    <tableColumn id="12" xr3:uid="{B3BDC2E6-C6D1-4E38-B1AB-2B52B2295404}" name="Total Cost" dataDxfId="12"/>
    <tableColumn id="13" xr3:uid="{59461E4C-EC35-455E-920B-3802A22490D8}" name="Acq Sales" dataDxfId="11"/>
    <tableColumn id="14" xr3:uid="{7E567771-BE36-41EA-9A65-37C7C4AB2465}" name="Non Acq Sales" dataDxfId="10"/>
    <tableColumn id="15" xr3:uid="{A42151F6-204C-4EDD-846E-8512B2E7DC02}" name="Close rate" dataDxfId="9"/>
    <tableColumn id="16" xr3:uid="{78575994-6256-47E7-A998-B0019EA12658}" name="Revenue" dataDxfId="8"/>
    <tableColumn id="24" xr3:uid="{A52CF044-4589-4821-8B86-02349ABC77E9}" name="Revenue per hour" dataDxfId="7">
      <calculatedColumnFormula>Table1[[#This Row],['# Hours Assigned]]/Table1[[#This Row],[Revenue]]</calculatedColumnFormula>
    </tableColumn>
    <tableColumn id="17" xr3:uid="{76C5CDE4-F314-45E3-A885-C83DC75052BD}" name="Mobile" dataDxfId="6"/>
    <tableColumn id="18" xr3:uid="{DA84C3E7-B092-42BB-8394-AF0D11529A21}" name="E/R Ratio" dataDxfId="5"/>
    <tableColumn id="19" xr3:uid="{2AF42A24-72FC-4B87-8AC8-02C714642FA2}" name="Revenue Sale" dataDxfId="4"/>
    <tableColumn id="20" xr3:uid="{21A678B5-D5BD-41F1-A0D5-6CBBA3E9A465}" name="Asurion" dataDxfId="3"/>
    <tableColumn id="21" xr3:uid="{E70EE309-B67A-4953-97F0-71187B46FD76}" name="HEP&amp;S" dataDxfId="2"/>
    <tableColumn id="22" xr3:uid="{D677B5DE-1497-458C-BDBD-2E5284D41E36}" name="PPNS" dataDxfId="1"/>
    <tableColumn id="23" xr3:uid="{1AB1724C-370E-4A92-B118-2F7E7D82CBDB}" name="Total Ca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1C89-B709-43B0-B998-1482CE220A90}">
  <dimension ref="A1:Y103"/>
  <sheetViews>
    <sheetView tabSelected="1" workbookViewId="0">
      <selection activeCell="H1" sqref="H1"/>
    </sheetView>
  </sheetViews>
  <sheetFormatPr defaultRowHeight="15" x14ac:dyDescent="0.25"/>
  <cols>
    <col min="1" max="1" width="11.5703125" style="1" bestFit="1" customWidth="1"/>
    <col min="2" max="2" width="13.140625" style="1" bestFit="1" customWidth="1"/>
    <col min="3" max="3" width="34" style="1" bestFit="1" customWidth="1"/>
    <col min="4" max="4" width="24.42578125" style="1" bestFit="1" customWidth="1"/>
    <col min="5" max="5" width="11.140625" style="1" bestFit="1" customWidth="1"/>
    <col min="6" max="6" width="22.28515625" style="1" bestFit="1" customWidth="1"/>
    <col min="7" max="7" width="15.28515625" style="1" customWidth="1"/>
    <col min="8" max="8" width="13.5703125" style="1" bestFit="1" customWidth="1"/>
    <col min="9" max="9" width="20.7109375" style="1" bestFit="1" customWidth="1"/>
    <col min="10" max="10" width="16.7109375" style="1" bestFit="1" customWidth="1"/>
    <col min="11" max="11" width="20.7109375" style="1" bestFit="1" customWidth="1"/>
    <col min="12" max="12" width="14.28515625" style="1" bestFit="1" customWidth="1"/>
    <col min="13" max="13" width="13.85546875" style="1" bestFit="1" customWidth="1"/>
    <col min="14" max="14" width="18.140625" style="1" bestFit="1" customWidth="1"/>
    <col min="15" max="15" width="14.42578125" style="1" bestFit="1" customWidth="1"/>
    <col min="16" max="16" width="13.42578125" style="1" bestFit="1" customWidth="1"/>
    <col min="17" max="17" width="21.5703125" style="1" bestFit="1" customWidth="1"/>
    <col min="18" max="18" width="12" style="1" bestFit="1" customWidth="1"/>
    <col min="19" max="19" width="13.5703125" style="1" bestFit="1" customWidth="1"/>
    <col min="20" max="20" width="17.7109375" style="1" bestFit="1" customWidth="1"/>
    <col min="21" max="21" width="12.42578125" style="1" bestFit="1" customWidth="1"/>
    <col min="22" max="22" width="11.5703125" style="1" bestFit="1" customWidth="1"/>
    <col min="23" max="23" width="10.28515625" style="1" bestFit="1" customWidth="1"/>
    <col min="24" max="24" width="14.42578125" style="1" bestFit="1" customWidth="1"/>
    <col min="25" max="16384" width="9.140625" style="1"/>
  </cols>
  <sheetData>
    <row r="1" spans="1:2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70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69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6" t="s">
        <v>48</v>
      </c>
    </row>
    <row r="2" spans="1:25" x14ac:dyDescent="0.25">
      <c r="A2" s="7">
        <v>45292</v>
      </c>
      <c r="B2" s="8" t="s">
        <v>21</v>
      </c>
      <c r="C2" s="8" t="s">
        <v>22</v>
      </c>
      <c r="D2" s="8" t="s">
        <v>22</v>
      </c>
      <c r="E2" s="8" t="s">
        <v>23</v>
      </c>
      <c r="F2" s="9">
        <v>1346</v>
      </c>
      <c r="G2" s="9">
        <v>5547</v>
      </c>
      <c r="H2" s="8">
        <v>336</v>
      </c>
      <c r="I2" s="10">
        <v>0.56799999999999995</v>
      </c>
      <c r="J2" s="10">
        <v>6.0600000000000001E-2</v>
      </c>
      <c r="K2" s="8">
        <v>193.2</v>
      </c>
      <c r="L2" s="11">
        <v>3187.34</v>
      </c>
      <c r="M2" s="12" t="s">
        <v>24</v>
      </c>
      <c r="N2" s="8" t="s">
        <v>25</v>
      </c>
      <c r="O2" s="10">
        <v>0</v>
      </c>
      <c r="P2" s="11">
        <v>50.01</v>
      </c>
      <c r="Q2" s="11">
        <f>Table1[[#This Row],['# Hours Assigned]]/Table1[[#This Row],[Revenue]]</f>
        <v>3.8632273545290943</v>
      </c>
      <c r="R2" s="13" t="s">
        <v>24</v>
      </c>
      <c r="S2" s="11">
        <v>63.73</v>
      </c>
      <c r="T2" s="8" t="e">
        <v>#DIV/0!</v>
      </c>
      <c r="U2" s="8">
        <v>2</v>
      </c>
      <c r="V2" s="8" t="s">
        <v>25</v>
      </c>
      <c r="W2" s="8">
        <v>2</v>
      </c>
      <c r="X2" s="14"/>
    </row>
    <row r="3" spans="1:25" x14ac:dyDescent="0.25">
      <c r="A3" s="15">
        <v>45292</v>
      </c>
      <c r="B3" s="16" t="s">
        <v>21</v>
      </c>
      <c r="C3" s="16" t="s">
        <v>26</v>
      </c>
      <c r="D3" s="16" t="s">
        <v>26</v>
      </c>
      <c r="E3" s="16" t="s">
        <v>23</v>
      </c>
      <c r="F3" s="17">
        <v>1715</v>
      </c>
      <c r="G3" s="17">
        <v>5591</v>
      </c>
      <c r="H3" s="8">
        <v>949</v>
      </c>
      <c r="I3" s="18">
        <v>0.69199999999999995</v>
      </c>
      <c r="J3" s="18">
        <v>0.16969999999999999</v>
      </c>
      <c r="K3" s="16">
        <v>471.7</v>
      </c>
      <c r="L3" s="19">
        <v>7782.53</v>
      </c>
      <c r="M3" s="20">
        <v>51</v>
      </c>
      <c r="N3" s="16"/>
      <c r="O3" s="18">
        <v>5.2999999999999999E-2</v>
      </c>
      <c r="P3" s="19">
        <v>4035.95</v>
      </c>
      <c r="Q3" s="19">
        <f>Table1[[#This Row],['# Hours Assigned]]/Table1[[#This Row],[Revenue]]</f>
        <v>0.11687458962573867</v>
      </c>
      <c r="R3" s="21" t="s">
        <v>24</v>
      </c>
      <c r="S3" s="19">
        <v>1.93</v>
      </c>
      <c r="T3" s="19">
        <v>79.14</v>
      </c>
      <c r="U3" s="16">
        <v>2</v>
      </c>
      <c r="V3" s="16">
        <v>1</v>
      </c>
      <c r="W3" s="16">
        <v>1</v>
      </c>
      <c r="X3" s="22"/>
    </row>
    <row r="4" spans="1:25" x14ac:dyDescent="0.25">
      <c r="A4" s="7">
        <v>45292</v>
      </c>
      <c r="B4" s="8" t="s">
        <v>21</v>
      </c>
      <c r="C4" s="8" t="s">
        <v>27</v>
      </c>
      <c r="D4" s="8" t="s">
        <v>27</v>
      </c>
      <c r="E4" s="8" t="s">
        <v>23</v>
      </c>
      <c r="F4" s="9">
        <v>3674</v>
      </c>
      <c r="G4" s="9">
        <v>13931</v>
      </c>
      <c r="H4" s="9">
        <v>1251</v>
      </c>
      <c r="I4" s="10">
        <v>0.749</v>
      </c>
      <c r="J4" s="10">
        <v>8.9800000000000005E-2</v>
      </c>
      <c r="K4" s="8">
        <v>730.1</v>
      </c>
      <c r="L4" s="11">
        <v>12046.11</v>
      </c>
      <c r="M4" s="12">
        <v>134</v>
      </c>
      <c r="N4" s="8" t="s">
        <v>25</v>
      </c>
      <c r="O4" s="10">
        <v>0.107</v>
      </c>
      <c r="P4" s="11">
        <v>9689.93</v>
      </c>
      <c r="Q4" s="11">
        <f>Table1[[#This Row],['# Hours Assigned]]/Table1[[#This Row],[Revenue]]</f>
        <v>7.5346261531301056E-2</v>
      </c>
      <c r="R4" s="13">
        <v>8</v>
      </c>
      <c r="S4" s="11">
        <v>1.24</v>
      </c>
      <c r="T4" s="11">
        <v>72.31</v>
      </c>
      <c r="U4" s="8">
        <v>2</v>
      </c>
      <c r="V4" s="8" t="s">
        <v>24</v>
      </c>
      <c r="W4" s="8">
        <v>2</v>
      </c>
      <c r="X4" s="14"/>
      <c r="Y4" s="79"/>
    </row>
    <row r="5" spans="1:25" x14ac:dyDescent="0.25">
      <c r="A5" s="15">
        <v>45292</v>
      </c>
      <c r="B5" s="16" t="s">
        <v>21</v>
      </c>
      <c r="C5" s="16" t="s">
        <v>28</v>
      </c>
      <c r="D5" s="16" t="s">
        <v>28</v>
      </c>
      <c r="E5" s="16" t="s">
        <v>23</v>
      </c>
      <c r="F5" s="17">
        <v>2086</v>
      </c>
      <c r="G5" s="17">
        <v>6262</v>
      </c>
      <c r="H5" s="8">
        <v>495</v>
      </c>
      <c r="I5" s="18">
        <v>0.46500000000000002</v>
      </c>
      <c r="J5" s="18">
        <v>7.9000000000000001E-2</v>
      </c>
      <c r="K5" s="16">
        <v>329.1</v>
      </c>
      <c r="L5" s="19">
        <v>5430.01</v>
      </c>
      <c r="M5" s="20">
        <v>14</v>
      </c>
      <c r="N5" s="16" t="s">
        <v>25</v>
      </c>
      <c r="O5" s="18">
        <v>2.8000000000000001E-2</v>
      </c>
      <c r="P5" s="19">
        <v>861.97</v>
      </c>
      <c r="Q5" s="19">
        <f>Table1[[#This Row],['# Hours Assigned]]/Table1[[#This Row],[Revenue]]</f>
        <v>0.38179983062055528</v>
      </c>
      <c r="R5" s="21" t="s">
        <v>24</v>
      </c>
      <c r="S5" s="19">
        <v>6.3</v>
      </c>
      <c r="T5" s="19">
        <v>61.57</v>
      </c>
      <c r="U5" s="16">
        <v>1</v>
      </c>
      <c r="V5" s="16">
        <v>1</v>
      </c>
      <c r="W5" s="16" t="s">
        <v>25</v>
      </c>
      <c r="X5" s="22"/>
    </row>
    <row r="6" spans="1:25" x14ac:dyDescent="0.25">
      <c r="A6" s="7">
        <v>45292</v>
      </c>
      <c r="B6" s="8" t="s">
        <v>21</v>
      </c>
      <c r="C6" s="8" t="s">
        <v>29</v>
      </c>
      <c r="D6" s="8" t="s">
        <v>29</v>
      </c>
      <c r="E6" s="8" t="s">
        <v>23</v>
      </c>
      <c r="F6" s="9">
        <v>2919</v>
      </c>
      <c r="G6" s="9">
        <v>9183</v>
      </c>
      <c r="H6" s="8">
        <v>915</v>
      </c>
      <c r="I6" s="10">
        <v>0.70899999999999996</v>
      </c>
      <c r="J6" s="10">
        <v>9.9599999999999994E-2</v>
      </c>
      <c r="K6" s="8">
        <v>715</v>
      </c>
      <c r="L6" s="11">
        <v>11796.74</v>
      </c>
      <c r="M6" s="12">
        <v>145</v>
      </c>
      <c r="N6" s="8" t="s">
        <v>25</v>
      </c>
      <c r="O6" s="10">
        <v>0.159</v>
      </c>
      <c r="P6" s="11">
        <v>9995.85</v>
      </c>
      <c r="Q6" s="11">
        <f>Table1[[#This Row],['# Hours Assigned]]/Table1[[#This Row],[Revenue]]</f>
        <v>7.1529684819199968E-2</v>
      </c>
      <c r="R6" s="13">
        <v>19</v>
      </c>
      <c r="S6" s="11">
        <v>1.18</v>
      </c>
      <c r="T6" s="11">
        <v>68.94</v>
      </c>
      <c r="U6" s="8">
        <v>8</v>
      </c>
      <c r="V6" s="8">
        <v>2</v>
      </c>
      <c r="W6" s="8">
        <v>6</v>
      </c>
      <c r="X6" s="14"/>
    </row>
    <row r="7" spans="1:25" x14ac:dyDescent="0.25">
      <c r="A7" s="15">
        <v>45292</v>
      </c>
      <c r="B7" s="16" t="s">
        <v>21</v>
      </c>
      <c r="C7" s="16" t="s">
        <v>30</v>
      </c>
      <c r="D7" s="16" t="s">
        <v>30</v>
      </c>
      <c r="E7" s="16" t="s">
        <v>23</v>
      </c>
      <c r="F7" s="17">
        <v>1586</v>
      </c>
      <c r="G7" s="17">
        <v>6510</v>
      </c>
      <c r="H7" s="8">
        <v>421</v>
      </c>
      <c r="I7" s="18">
        <v>0.64</v>
      </c>
      <c r="J7" s="18">
        <v>6.4699999999999994E-2</v>
      </c>
      <c r="K7" s="16">
        <v>754.6</v>
      </c>
      <c r="L7" s="19">
        <v>12451.14</v>
      </c>
      <c r="M7" s="20">
        <v>42</v>
      </c>
      <c r="N7" s="16" t="s">
        <v>25</v>
      </c>
      <c r="O7" s="18">
        <v>0.1</v>
      </c>
      <c r="P7" s="19">
        <v>3269.99</v>
      </c>
      <c r="Q7" s="19">
        <f>Table1[[#This Row],['# Hours Assigned]]/Table1[[#This Row],[Revenue]]</f>
        <v>0.23076523169795629</v>
      </c>
      <c r="R7" s="21">
        <v>1</v>
      </c>
      <c r="S7" s="19">
        <v>3.81</v>
      </c>
      <c r="T7" s="19">
        <v>77.86</v>
      </c>
      <c r="U7" s="16" t="s">
        <v>25</v>
      </c>
      <c r="V7" s="16" t="s">
        <v>25</v>
      </c>
      <c r="W7" s="16" t="s">
        <v>25</v>
      </c>
      <c r="X7" s="22"/>
    </row>
    <row r="8" spans="1:25" x14ac:dyDescent="0.25">
      <c r="A8" s="7">
        <v>45292</v>
      </c>
      <c r="B8" s="8" t="s">
        <v>21</v>
      </c>
      <c r="C8" s="23" t="s">
        <v>31</v>
      </c>
      <c r="D8" s="8" t="s">
        <v>32</v>
      </c>
      <c r="E8" s="8" t="s">
        <v>33</v>
      </c>
      <c r="F8" s="24">
        <v>2879</v>
      </c>
      <c r="G8" s="24">
        <v>7809</v>
      </c>
      <c r="H8" s="24">
        <v>1084</v>
      </c>
      <c r="I8" s="10">
        <v>0.73299999999999998</v>
      </c>
      <c r="J8" s="10">
        <v>0.13880000000000001</v>
      </c>
      <c r="K8" s="23">
        <v>277.39999999999998</v>
      </c>
      <c r="L8" s="11">
        <v>4577.26</v>
      </c>
      <c r="M8" s="8" t="s">
        <v>24</v>
      </c>
      <c r="N8" s="23">
        <v>225</v>
      </c>
      <c r="O8" s="25">
        <v>0</v>
      </c>
      <c r="P8" s="26">
        <v>11362.97</v>
      </c>
      <c r="Q8" s="26">
        <f>Table1[[#This Row],['# Hours Assigned]]/Table1[[#This Row],[Revenue]]</f>
        <v>2.4412631556714484E-2</v>
      </c>
      <c r="R8" s="13" t="s">
        <v>24</v>
      </c>
      <c r="S8" s="11">
        <v>0.4</v>
      </c>
      <c r="T8" s="11">
        <v>50.5</v>
      </c>
      <c r="U8" s="8" t="s">
        <v>25</v>
      </c>
      <c r="V8" s="23" t="s">
        <v>25</v>
      </c>
      <c r="W8" s="23" t="s">
        <v>25</v>
      </c>
      <c r="X8" s="27"/>
    </row>
    <row r="9" spans="1:25" x14ac:dyDescent="0.25">
      <c r="A9" s="15">
        <v>45292</v>
      </c>
      <c r="B9" s="16" t="s">
        <v>21</v>
      </c>
      <c r="C9" s="16" t="s">
        <v>34</v>
      </c>
      <c r="D9" s="23" t="s">
        <v>35</v>
      </c>
      <c r="E9" s="23" t="s">
        <v>33</v>
      </c>
      <c r="F9" s="17">
        <v>2287</v>
      </c>
      <c r="G9" s="17">
        <v>6242</v>
      </c>
      <c r="H9" s="16">
        <v>612</v>
      </c>
      <c r="I9" s="18">
        <v>0.69</v>
      </c>
      <c r="J9" s="18">
        <v>9.8000000000000004E-2</v>
      </c>
      <c r="K9" s="16">
        <v>184.3</v>
      </c>
      <c r="L9" s="19">
        <v>3040.48</v>
      </c>
      <c r="M9" s="16"/>
      <c r="N9" s="16">
        <v>21</v>
      </c>
      <c r="O9" s="25">
        <v>0</v>
      </c>
      <c r="P9" s="19">
        <v>123.05</v>
      </c>
      <c r="Q9" s="19">
        <f>Table1[[#This Row],['# Hours Assigned]]/Table1[[#This Row],[Revenue]]</f>
        <v>1.4977651361235271</v>
      </c>
      <c r="R9" s="21" t="s">
        <v>24</v>
      </c>
      <c r="S9" s="19">
        <v>24.71</v>
      </c>
      <c r="T9" s="16" t="e">
        <v>#DIV/0!</v>
      </c>
      <c r="U9" s="16">
        <v>3</v>
      </c>
      <c r="V9" s="23" t="s">
        <v>25</v>
      </c>
      <c r="W9" s="16">
        <v>3</v>
      </c>
      <c r="X9" s="22"/>
    </row>
    <row r="10" spans="1:25" x14ac:dyDescent="0.25">
      <c r="A10" s="7">
        <v>45292</v>
      </c>
      <c r="B10" s="8" t="s">
        <v>21</v>
      </c>
      <c r="C10" s="8" t="s">
        <v>36</v>
      </c>
      <c r="D10" s="23" t="s">
        <v>37</v>
      </c>
      <c r="E10" s="23" t="s">
        <v>38</v>
      </c>
      <c r="F10" s="28" t="s">
        <v>24</v>
      </c>
      <c r="G10" s="9">
        <v>2740192</v>
      </c>
      <c r="H10" s="9">
        <v>73660</v>
      </c>
      <c r="I10" s="10">
        <v>6.4000000000000001E-2</v>
      </c>
      <c r="J10" s="10">
        <v>2.69E-2</v>
      </c>
      <c r="K10" s="29">
        <v>12341.9</v>
      </c>
      <c r="L10" s="11">
        <v>203641.62</v>
      </c>
      <c r="M10" s="8"/>
      <c r="N10" s="9">
        <v>4928</v>
      </c>
      <c r="O10" s="30">
        <v>0</v>
      </c>
      <c r="P10" s="11">
        <v>6129.48</v>
      </c>
      <c r="Q10" s="11">
        <f>Table1[[#This Row],['# Hours Assigned]]/Table1[[#This Row],[Revenue]]</f>
        <v>2.0135313272904063</v>
      </c>
      <c r="R10" s="13">
        <v>181</v>
      </c>
      <c r="S10" s="11">
        <v>33.22</v>
      </c>
      <c r="T10" s="11">
        <v>1.24</v>
      </c>
      <c r="U10" s="9">
        <v>1721</v>
      </c>
      <c r="V10" s="8">
        <v>709</v>
      </c>
      <c r="W10" s="9">
        <v>1012</v>
      </c>
      <c r="X10" s="14"/>
    </row>
    <row r="11" spans="1:25" x14ac:dyDescent="0.25">
      <c r="A11" s="15">
        <v>45292</v>
      </c>
      <c r="B11" s="16" t="s">
        <v>21</v>
      </c>
      <c r="C11" s="16" t="s">
        <v>39</v>
      </c>
      <c r="D11" s="16" t="s">
        <v>39</v>
      </c>
      <c r="E11" s="23" t="s">
        <v>33</v>
      </c>
      <c r="F11" s="17">
        <v>5524</v>
      </c>
      <c r="G11" s="17">
        <v>8717</v>
      </c>
      <c r="H11" s="9">
        <v>1910</v>
      </c>
      <c r="I11" s="18">
        <v>0.76900000000000002</v>
      </c>
      <c r="J11" s="18">
        <v>0.21909999999999999</v>
      </c>
      <c r="K11" s="16">
        <v>544.29999999999995</v>
      </c>
      <c r="L11" s="19">
        <v>8981.52</v>
      </c>
      <c r="M11" s="16"/>
      <c r="N11" s="16">
        <v>321</v>
      </c>
      <c r="O11" s="18">
        <v>0</v>
      </c>
      <c r="P11" s="19">
        <v>26379</v>
      </c>
      <c r="Q11" s="19">
        <f>Table1[[#This Row],['# Hours Assigned]]/Table1[[#This Row],[Revenue]]</f>
        <v>2.0633837522271502E-2</v>
      </c>
      <c r="R11" s="21">
        <v>4</v>
      </c>
      <c r="S11" s="19">
        <v>0.34</v>
      </c>
      <c r="T11" s="19">
        <v>82.18</v>
      </c>
      <c r="U11" s="16">
        <v>11</v>
      </c>
      <c r="V11" s="16">
        <v>2</v>
      </c>
      <c r="W11" s="16">
        <v>9</v>
      </c>
      <c r="X11" s="22"/>
    </row>
    <row r="12" spans="1:25" x14ac:dyDescent="0.25">
      <c r="A12" s="7">
        <v>45292</v>
      </c>
      <c r="B12" s="8" t="s">
        <v>21</v>
      </c>
      <c r="C12" s="8" t="s">
        <v>40</v>
      </c>
      <c r="D12" s="8" t="s">
        <v>32</v>
      </c>
      <c r="E12" s="23" t="s">
        <v>33</v>
      </c>
      <c r="F12" s="9">
        <v>4483</v>
      </c>
      <c r="G12" s="9">
        <v>14241</v>
      </c>
      <c r="H12" s="9">
        <v>1503</v>
      </c>
      <c r="I12" s="10">
        <v>0.63800000000000001</v>
      </c>
      <c r="J12" s="10">
        <v>0.1055</v>
      </c>
      <c r="K12" s="8">
        <v>255.6</v>
      </c>
      <c r="L12" s="11">
        <v>4216.5200000000004</v>
      </c>
      <c r="M12" s="8"/>
      <c r="N12" s="8">
        <v>34</v>
      </c>
      <c r="O12" s="10">
        <v>0</v>
      </c>
      <c r="P12" s="11">
        <v>1153.96</v>
      </c>
      <c r="Q12" s="11">
        <f>Table1[[#This Row],['# Hours Assigned]]/Table1[[#This Row],[Revenue]]</f>
        <v>0.22149814551630906</v>
      </c>
      <c r="R12" s="13">
        <v>1</v>
      </c>
      <c r="S12" s="11">
        <v>3.65</v>
      </c>
      <c r="T12" s="11">
        <v>33.94</v>
      </c>
      <c r="U12" s="8">
        <v>1</v>
      </c>
      <c r="V12" s="8" t="s">
        <v>25</v>
      </c>
      <c r="W12" s="8">
        <v>1</v>
      </c>
      <c r="X12" s="14"/>
    </row>
    <row r="13" spans="1:25" x14ac:dyDescent="0.25">
      <c r="A13" s="15">
        <v>45292</v>
      </c>
      <c r="B13" s="16" t="s">
        <v>21</v>
      </c>
      <c r="C13" s="16" t="s">
        <v>41</v>
      </c>
      <c r="D13" s="16" t="s">
        <v>32</v>
      </c>
      <c r="E13" s="23" t="s">
        <v>33</v>
      </c>
      <c r="F13" s="17">
        <v>1226</v>
      </c>
      <c r="G13" s="17">
        <v>2521</v>
      </c>
      <c r="H13" s="16">
        <v>499</v>
      </c>
      <c r="I13" s="18">
        <v>0.77300000000000002</v>
      </c>
      <c r="J13" s="18">
        <v>0.19789999999999999</v>
      </c>
      <c r="K13" s="16">
        <v>408.3</v>
      </c>
      <c r="L13" s="19">
        <v>6737.36</v>
      </c>
      <c r="M13" s="16"/>
      <c r="N13" s="16">
        <v>245</v>
      </c>
      <c r="O13" s="18">
        <v>0</v>
      </c>
      <c r="P13" s="19">
        <v>0</v>
      </c>
      <c r="Q13" s="19" t="e">
        <f>Table1[[#This Row],['# Hours Assigned]]/Table1[[#This Row],[Revenue]]</f>
        <v>#DIV/0!</v>
      </c>
      <c r="R13" s="21">
        <v>3</v>
      </c>
      <c r="S13" s="16" t="s">
        <v>42</v>
      </c>
      <c r="T13" s="19">
        <v>0</v>
      </c>
      <c r="U13" s="16">
        <v>3</v>
      </c>
      <c r="V13" s="16">
        <v>2</v>
      </c>
      <c r="W13" s="16">
        <v>1</v>
      </c>
      <c r="X13" s="22"/>
    </row>
    <row r="14" spans="1:25" x14ac:dyDescent="0.25">
      <c r="A14" s="7">
        <v>45292</v>
      </c>
      <c r="B14" s="8" t="s">
        <v>21</v>
      </c>
      <c r="C14" s="8" t="s">
        <v>20</v>
      </c>
      <c r="D14" s="8" t="s">
        <v>32</v>
      </c>
      <c r="E14" s="23" t="s">
        <v>33</v>
      </c>
      <c r="F14" s="9">
        <v>7751</v>
      </c>
      <c r="G14" s="9">
        <v>29810</v>
      </c>
      <c r="H14" s="9">
        <v>3567</v>
      </c>
      <c r="I14" s="10">
        <v>0.90100000000000002</v>
      </c>
      <c r="J14" s="10">
        <v>0.1197</v>
      </c>
      <c r="K14" s="8">
        <v>788.6</v>
      </c>
      <c r="L14" s="11">
        <v>13011.66</v>
      </c>
      <c r="M14" s="8"/>
      <c r="N14" s="8">
        <v>924</v>
      </c>
      <c r="O14" s="10">
        <v>0</v>
      </c>
      <c r="P14" s="11">
        <v>51896.800000000003</v>
      </c>
      <c r="Q14" s="11">
        <f>Table1[[#This Row],['# Hours Assigned]]/Table1[[#This Row],[Revenue]]</f>
        <v>1.519554192165991E-2</v>
      </c>
      <c r="R14" s="13">
        <v>28</v>
      </c>
      <c r="S14" s="11">
        <v>0.25</v>
      </c>
      <c r="T14" s="11">
        <v>56.17</v>
      </c>
      <c r="U14" s="8" t="s">
        <v>25</v>
      </c>
      <c r="V14" s="8" t="s">
        <v>25</v>
      </c>
      <c r="W14" s="8" t="s">
        <v>25</v>
      </c>
      <c r="X14" s="14"/>
    </row>
    <row r="15" spans="1:25" x14ac:dyDescent="0.25">
      <c r="A15" s="15">
        <v>45292</v>
      </c>
      <c r="B15" s="16" t="s">
        <v>21</v>
      </c>
      <c r="C15" s="16" t="s">
        <v>43</v>
      </c>
      <c r="D15" s="16" t="s">
        <v>32</v>
      </c>
      <c r="E15" s="23" t="s">
        <v>33</v>
      </c>
      <c r="F15" s="16">
        <v>400</v>
      </c>
      <c r="G15" s="16">
        <v>641</v>
      </c>
      <c r="H15" s="16">
        <v>77</v>
      </c>
      <c r="I15" s="18">
        <v>0.72</v>
      </c>
      <c r="J15" s="18">
        <v>0.1201</v>
      </c>
      <c r="K15" s="16">
        <v>50.5</v>
      </c>
      <c r="L15" s="19">
        <v>833.09</v>
      </c>
      <c r="M15" s="16"/>
      <c r="N15" s="16">
        <v>9</v>
      </c>
      <c r="O15" s="18">
        <v>0</v>
      </c>
      <c r="P15" s="19">
        <v>718</v>
      </c>
      <c r="Q15" s="19">
        <f>Table1[[#This Row],['# Hours Assigned]]/Table1[[#This Row],[Revenue]]</f>
        <v>7.0334261838440118E-2</v>
      </c>
      <c r="R15" s="21" t="s">
        <v>24</v>
      </c>
      <c r="S15" s="19">
        <v>1.1599999999999999</v>
      </c>
      <c r="T15" s="19">
        <v>79.78</v>
      </c>
      <c r="U15" s="16">
        <v>1</v>
      </c>
      <c r="V15" s="16">
        <v>1</v>
      </c>
      <c r="W15" s="16" t="s">
        <v>25</v>
      </c>
      <c r="X15" s="22"/>
    </row>
    <row r="16" spans="1:25" x14ac:dyDescent="0.25">
      <c r="A16" s="7">
        <v>45323</v>
      </c>
      <c r="B16" s="8" t="s">
        <v>21</v>
      </c>
      <c r="C16" s="23" t="s">
        <v>31</v>
      </c>
      <c r="D16" s="8" t="s">
        <v>32</v>
      </c>
      <c r="E16" s="8" t="s">
        <v>33</v>
      </c>
      <c r="F16" s="24">
        <v>1979</v>
      </c>
      <c r="G16" s="24">
        <v>5490</v>
      </c>
      <c r="H16" s="23">
        <v>781</v>
      </c>
      <c r="I16" s="10">
        <v>0.59599999999999997</v>
      </c>
      <c r="J16" s="10">
        <v>0.14230000000000001</v>
      </c>
      <c r="K16" s="23">
        <v>191.5</v>
      </c>
      <c r="L16" s="11">
        <v>3159.66</v>
      </c>
      <c r="M16" s="8"/>
      <c r="N16" s="8" t="s">
        <v>24</v>
      </c>
      <c r="O16" s="25">
        <v>0</v>
      </c>
      <c r="P16" s="26">
        <v>7827.15</v>
      </c>
      <c r="Q16" s="26">
        <f>Table1[[#This Row],['# Hours Assigned]]/Table1[[#This Row],[Revenue]]</f>
        <v>2.4466121129657667E-2</v>
      </c>
      <c r="R16" s="13" t="s">
        <v>24</v>
      </c>
      <c r="S16" s="11">
        <v>0.4</v>
      </c>
      <c r="T16" s="8" t="e">
        <v>#DIV/0!</v>
      </c>
      <c r="U16" s="8" t="s">
        <v>24</v>
      </c>
      <c r="V16" s="23" t="s">
        <v>25</v>
      </c>
      <c r="W16" s="8" t="s">
        <v>25</v>
      </c>
      <c r="X16" s="14"/>
    </row>
    <row r="17" spans="1:24" x14ac:dyDescent="0.25">
      <c r="A17" s="15">
        <v>45323</v>
      </c>
      <c r="B17" s="16" t="s">
        <v>21</v>
      </c>
      <c r="C17" s="16" t="s">
        <v>34</v>
      </c>
      <c r="D17" s="23" t="s">
        <v>35</v>
      </c>
      <c r="E17" s="23" t="s">
        <v>33</v>
      </c>
      <c r="F17" s="17">
        <v>2072</v>
      </c>
      <c r="G17" s="17">
        <v>5867</v>
      </c>
      <c r="H17" s="8">
        <v>649</v>
      </c>
      <c r="I17" s="18">
        <v>0.57999999999999996</v>
      </c>
      <c r="J17" s="18">
        <v>0.1106</v>
      </c>
      <c r="K17" s="16">
        <v>250</v>
      </c>
      <c r="L17" s="19">
        <v>4124.17</v>
      </c>
      <c r="M17" s="16"/>
      <c r="N17" s="16">
        <v>14</v>
      </c>
      <c r="O17" s="25">
        <v>0</v>
      </c>
      <c r="P17" s="19">
        <v>31.1</v>
      </c>
      <c r="Q17" s="19">
        <f>Table1[[#This Row],['# Hours Assigned]]/Table1[[#This Row],[Revenue]]</f>
        <v>8.0385852090032159</v>
      </c>
      <c r="R17" s="21" t="s">
        <v>24</v>
      </c>
      <c r="S17" s="19">
        <v>132.61000000000001</v>
      </c>
      <c r="T17" s="16" t="e">
        <v>#DIV/0!</v>
      </c>
      <c r="U17" s="16">
        <v>3</v>
      </c>
      <c r="V17" s="23" t="s">
        <v>25</v>
      </c>
      <c r="W17" s="16">
        <v>3</v>
      </c>
      <c r="X17" s="22"/>
    </row>
    <row r="18" spans="1:24" x14ac:dyDescent="0.25">
      <c r="A18" s="7">
        <v>45323</v>
      </c>
      <c r="B18" s="8" t="s">
        <v>21</v>
      </c>
      <c r="C18" s="8" t="s">
        <v>36</v>
      </c>
      <c r="D18" s="31" t="s">
        <v>37</v>
      </c>
      <c r="E18" s="23" t="s">
        <v>38</v>
      </c>
      <c r="F18" s="28" t="s">
        <v>24</v>
      </c>
      <c r="G18" s="9">
        <v>2430009</v>
      </c>
      <c r="H18" s="9">
        <v>64150</v>
      </c>
      <c r="I18" s="10">
        <v>0.59599999999999997</v>
      </c>
      <c r="J18" s="10">
        <v>2.64E-2</v>
      </c>
      <c r="K18" s="29">
        <v>10793.6</v>
      </c>
      <c r="L18" s="11">
        <v>178094.98</v>
      </c>
      <c r="M18" s="8"/>
      <c r="N18" s="8" t="s">
        <v>24</v>
      </c>
      <c r="O18" s="30">
        <v>0</v>
      </c>
      <c r="P18" s="11">
        <v>4533.78</v>
      </c>
      <c r="Q18" s="11">
        <f>Table1[[#This Row],['# Hours Assigned]]/Table1[[#This Row],[Revenue]]</f>
        <v>2.3807066068490315</v>
      </c>
      <c r="R18" s="13">
        <v>173</v>
      </c>
      <c r="S18" s="11">
        <v>39.28</v>
      </c>
      <c r="T18" s="8" t="e">
        <v>#DIV/0!</v>
      </c>
      <c r="U18" s="9">
        <v>1101</v>
      </c>
      <c r="V18" s="8">
        <v>417</v>
      </c>
      <c r="W18" s="8">
        <v>684</v>
      </c>
      <c r="X18" s="14"/>
    </row>
    <row r="19" spans="1:24" x14ac:dyDescent="0.25">
      <c r="A19" s="15">
        <v>45323</v>
      </c>
      <c r="B19" s="16" t="s">
        <v>21</v>
      </c>
      <c r="C19" s="16" t="s">
        <v>39</v>
      </c>
      <c r="D19" s="16" t="s">
        <v>39</v>
      </c>
      <c r="E19" s="23" t="s">
        <v>33</v>
      </c>
      <c r="F19" s="17">
        <v>5160</v>
      </c>
      <c r="G19" s="17">
        <v>13841</v>
      </c>
      <c r="H19" s="17">
        <v>1852</v>
      </c>
      <c r="I19" s="18">
        <v>0.84899999999999998</v>
      </c>
      <c r="J19" s="18">
        <v>0.1338</v>
      </c>
      <c r="K19" s="16">
        <v>431.2</v>
      </c>
      <c r="L19" s="19">
        <v>7114.84</v>
      </c>
      <c r="M19" s="16"/>
      <c r="N19" s="16" t="s">
        <v>24</v>
      </c>
      <c r="O19" s="18">
        <v>0</v>
      </c>
      <c r="P19" s="19">
        <v>31393.4</v>
      </c>
      <c r="Q19" s="19">
        <f>Table1[[#This Row],['# Hours Assigned]]/Table1[[#This Row],[Revenue]]</f>
        <v>1.3735371128963413E-2</v>
      </c>
      <c r="R19" s="21">
        <v>8</v>
      </c>
      <c r="S19" s="19">
        <v>0.23</v>
      </c>
      <c r="T19" s="16" t="e">
        <v>#DIV/0!</v>
      </c>
      <c r="U19" s="16">
        <v>12</v>
      </c>
      <c r="V19" s="16">
        <v>4</v>
      </c>
      <c r="W19" s="16">
        <v>8</v>
      </c>
      <c r="X19" s="22"/>
    </row>
    <row r="20" spans="1:24" x14ac:dyDescent="0.25">
      <c r="A20" s="7">
        <v>45323</v>
      </c>
      <c r="B20" s="8" t="s">
        <v>21</v>
      </c>
      <c r="C20" s="8" t="s">
        <v>41</v>
      </c>
      <c r="D20" s="8" t="s">
        <v>32</v>
      </c>
      <c r="E20" s="23" t="s">
        <v>33</v>
      </c>
      <c r="F20" s="9">
        <v>3403</v>
      </c>
      <c r="G20" s="9">
        <v>6321</v>
      </c>
      <c r="H20" s="9">
        <v>1082</v>
      </c>
      <c r="I20" s="10">
        <v>0.84099999999999997</v>
      </c>
      <c r="J20" s="10">
        <v>0.17119999999999999</v>
      </c>
      <c r="K20" s="8">
        <v>305.39999999999998</v>
      </c>
      <c r="L20" s="11">
        <v>5038.43</v>
      </c>
      <c r="M20" s="8"/>
      <c r="N20" s="8" t="s">
        <v>24</v>
      </c>
      <c r="O20" s="10">
        <v>0</v>
      </c>
      <c r="P20" s="11">
        <v>0</v>
      </c>
      <c r="Q20" s="11" t="e">
        <f>Table1[[#This Row],['# Hours Assigned]]/Table1[[#This Row],[Revenue]]</f>
        <v>#DIV/0!</v>
      </c>
      <c r="R20" s="13" t="s">
        <v>24</v>
      </c>
      <c r="S20" s="8" t="s">
        <v>42</v>
      </c>
      <c r="T20" s="8" t="e">
        <v>#DIV/0!</v>
      </c>
      <c r="U20" s="8">
        <v>4</v>
      </c>
      <c r="V20" s="8">
        <v>1</v>
      </c>
      <c r="W20" s="8">
        <v>3</v>
      </c>
      <c r="X20" s="14"/>
    </row>
    <row r="21" spans="1:24" x14ac:dyDescent="0.25">
      <c r="A21" s="15">
        <v>45323</v>
      </c>
      <c r="B21" s="16" t="s">
        <v>21</v>
      </c>
      <c r="C21" s="16" t="s">
        <v>20</v>
      </c>
      <c r="D21" s="16" t="s">
        <v>32</v>
      </c>
      <c r="E21" s="23" t="s">
        <v>33</v>
      </c>
      <c r="F21" s="17">
        <v>6408</v>
      </c>
      <c r="G21" s="17">
        <v>25742</v>
      </c>
      <c r="H21" s="17">
        <v>2818</v>
      </c>
      <c r="I21" s="18">
        <v>0.88300000000000001</v>
      </c>
      <c r="J21" s="18">
        <v>0.1095</v>
      </c>
      <c r="K21" s="16">
        <v>768.7</v>
      </c>
      <c r="L21" s="19">
        <v>12683.63</v>
      </c>
      <c r="M21" s="16"/>
      <c r="N21" s="16" t="s">
        <v>24</v>
      </c>
      <c r="O21" s="18">
        <v>0</v>
      </c>
      <c r="P21" s="19">
        <v>31778.99</v>
      </c>
      <c r="Q21" s="19">
        <f>Table1[[#This Row],['# Hours Assigned]]/Table1[[#This Row],[Revenue]]</f>
        <v>2.4188937408017058E-2</v>
      </c>
      <c r="R21" s="21">
        <v>77</v>
      </c>
      <c r="S21" s="19">
        <v>0.4</v>
      </c>
      <c r="T21" s="16" t="e">
        <v>#DIV/0!</v>
      </c>
      <c r="U21" s="16" t="s">
        <v>24</v>
      </c>
      <c r="V21" s="16" t="s">
        <v>25</v>
      </c>
      <c r="W21" s="16" t="s">
        <v>25</v>
      </c>
      <c r="X21" s="22"/>
    </row>
    <row r="22" spans="1:24" x14ac:dyDescent="0.25">
      <c r="A22" s="7">
        <v>45323</v>
      </c>
      <c r="B22" s="8" t="s">
        <v>21</v>
      </c>
      <c r="C22" s="8" t="s">
        <v>22</v>
      </c>
      <c r="D22" s="8" t="s">
        <v>22</v>
      </c>
      <c r="E22" s="8" t="s">
        <v>23</v>
      </c>
      <c r="F22" s="8">
        <v>775</v>
      </c>
      <c r="G22" s="9">
        <v>3089</v>
      </c>
      <c r="H22" s="8">
        <v>279</v>
      </c>
      <c r="I22" s="10">
        <v>0.60499999999999998</v>
      </c>
      <c r="J22" s="10">
        <v>9.0300000000000005E-2</v>
      </c>
      <c r="K22" s="8">
        <v>417.1</v>
      </c>
      <c r="L22" s="11">
        <v>1485.71</v>
      </c>
      <c r="M22" s="12">
        <v>2</v>
      </c>
      <c r="N22" s="12"/>
      <c r="O22" s="10">
        <v>7.0000000000000001E-3</v>
      </c>
      <c r="P22" s="11">
        <v>1.5</v>
      </c>
      <c r="Q22" s="11">
        <f>Table1[[#This Row],['# Hours Assigned]]/Table1[[#This Row],[Revenue]]</f>
        <v>278.06666666666666</v>
      </c>
      <c r="R22" s="13" t="s">
        <v>24</v>
      </c>
      <c r="S22" s="11">
        <v>990.47</v>
      </c>
      <c r="T22" s="11">
        <v>0.75</v>
      </c>
      <c r="U22" s="8" t="s">
        <v>25</v>
      </c>
      <c r="V22" s="8" t="s">
        <v>25</v>
      </c>
      <c r="W22" s="8" t="s">
        <v>25</v>
      </c>
      <c r="X22" s="14"/>
    </row>
    <row r="23" spans="1:24" x14ac:dyDescent="0.25">
      <c r="A23" s="15">
        <v>45323</v>
      </c>
      <c r="B23" s="16" t="s">
        <v>21</v>
      </c>
      <c r="C23" s="16" t="s">
        <v>26</v>
      </c>
      <c r="D23" s="16" t="s">
        <v>26</v>
      </c>
      <c r="E23" s="16" t="s">
        <v>23</v>
      </c>
      <c r="F23" s="17">
        <v>2090</v>
      </c>
      <c r="G23" s="17">
        <v>10128</v>
      </c>
      <c r="H23" s="17">
        <v>1494</v>
      </c>
      <c r="I23" s="18">
        <v>0.80800000000000005</v>
      </c>
      <c r="J23" s="18">
        <v>0.14749999999999999</v>
      </c>
      <c r="K23" s="16">
        <v>683.6</v>
      </c>
      <c r="L23" s="19">
        <v>11278.96</v>
      </c>
      <c r="M23" s="20">
        <v>88</v>
      </c>
      <c r="N23" s="20"/>
      <c r="O23" s="18">
        <v>5.8999999999999997E-2</v>
      </c>
      <c r="P23" s="19">
        <v>6944.21</v>
      </c>
      <c r="Q23" s="19">
        <f>Table1[[#This Row],['# Hours Assigned]]/Table1[[#This Row],[Revenue]]</f>
        <v>9.844172339258174E-2</v>
      </c>
      <c r="R23" s="21">
        <v>5</v>
      </c>
      <c r="S23" s="19">
        <v>1.62</v>
      </c>
      <c r="T23" s="19">
        <v>78.91</v>
      </c>
      <c r="U23" s="16">
        <v>3</v>
      </c>
      <c r="V23" s="16"/>
      <c r="W23" s="16">
        <v>3</v>
      </c>
      <c r="X23" s="22"/>
    </row>
    <row r="24" spans="1:24" x14ac:dyDescent="0.25">
      <c r="A24" s="7">
        <v>45323</v>
      </c>
      <c r="B24" s="8" t="s">
        <v>21</v>
      </c>
      <c r="C24" s="8" t="s">
        <v>27</v>
      </c>
      <c r="D24" s="8" t="s">
        <v>27</v>
      </c>
      <c r="E24" s="8" t="s">
        <v>23</v>
      </c>
      <c r="F24" s="9">
        <v>3975</v>
      </c>
      <c r="G24" s="9">
        <v>22869</v>
      </c>
      <c r="H24" s="9">
        <v>1926</v>
      </c>
      <c r="I24" s="10">
        <v>0.84</v>
      </c>
      <c r="J24" s="10">
        <v>8.4199999999999997E-2</v>
      </c>
      <c r="K24" s="29">
        <v>1344</v>
      </c>
      <c r="L24" s="11">
        <v>22175.73</v>
      </c>
      <c r="M24" s="12">
        <v>233</v>
      </c>
      <c r="N24" s="12"/>
      <c r="O24" s="10">
        <v>0.121</v>
      </c>
      <c r="P24" s="11">
        <v>16627.57</v>
      </c>
      <c r="Q24" s="11">
        <f>Table1[[#This Row],['# Hours Assigned]]/Table1[[#This Row],[Revenue]]</f>
        <v>8.0829610099371105E-2</v>
      </c>
      <c r="R24" s="13">
        <v>41</v>
      </c>
      <c r="S24" s="11">
        <v>1.33</v>
      </c>
      <c r="T24" s="11">
        <v>71.36</v>
      </c>
      <c r="U24" s="8">
        <v>1</v>
      </c>
      <c r="V24" s="8"/>
      <c r="W24" s="8">
        <v>1</v>
      </c>
      <c r="X24" s="14"/>
    </row>
    <row r="25" spans="1:24" x14ac:dyDescent="0.25">
      <c r="A25" s="15">
        <v>45323</v>
      </c>
      <c r="B25" s="16" t="s">
        <v>21</v>
      </c>
      <c r="C25" s="16" t="s">
        <v>28</v>
      </c>
      <c r="D25" s="16" t="s">
        <v>28</v>
      </c>
      <c r="E25" s="16" t="s">
        <v>23</v>
      </c>
      <c r="F25" s="17">
        <v>2931</v>
      </c>
      <c r="G25" s="17">
        <v>20390</v>
      </c>
      <c r="H25" s="16">
        <v>899</v>
      </c>
      <c r="I25" s="18">
        <v>0.621</v>
      </c>
      <c r="J25" s="18">
        <v>4.41E-2</v>
      </c>
      <c r="K25" s="16">
        <v>620.9</v>
      </c>
      <c r="L25" s="19">
        <v>10244.52</v>
      </c>
      <c r="M25" s="20">
        <v>27</v>
      </c>
      <c r="N25" s="20"/>
      <c r="O25" s="18">
        <v>0.03</v>
      </c>
      <c r="P25" s="19">
        <v>2149.64</v>
      </c>
      <c r="Q25" s="19">
        <f>Table1[[#This Row],['# Hours Assigned]]/Table1[[#This Row],[Revenue]]</f>
        <v>0.28883906142423849</v>
      </c>
      <c r="R25" s="21" t="s">
        <v>24</v>
      </c>
      <c r="S25" s="19">
        <v>4.7699999999999996</v>
      </c>
      <c r="T25" s="19">
        <v>79.62</v>
      </c>
      <c r="U25" s="16">
        <v>1</v>
      </c>
      <c r="V25" s="16">
        <v>1</v>
      </c>
      <c r="W25" s="16" t="s">
        <v>25</v>
      </c>
      <c r="X25" s="22"/>
    </row>
    <row r="26" spans="1:24" x14ac:dyDescent="0.25">
      <c r="A26" s="7">
        <v>45323</v>
      </c>
      <c r="B26" s="8" t="s">
        <v>21</v>
      </c>
      <c r="C26" s="8" t="s">
        <v>29</v>
      </c>
      <c r="D26" s="8" t="s">
        <v>29</v>
      </c>
      <c r="E26" s="8" t="s">
        <v>23</v>
      </c>
      <c r="F26" s="9">
        <v>3022</v>
      </c>
      <c r="G26" s="9">
        <v>17569</v>
      </c>
      <c r="H26" s="9">
        <v>1392</v>
      </c>
      <c r="I26" s="10">
        <v>0.83699999999999997</v>
      </c>
      <c r="J26" s="10">
        <v>7.9200000000000007E-2</v>
      </c>
      <c r="K26" s="29">
        <v>1378.1</v>
      </c>
      <c r="L26" s="11">
        <v>22738.67</v>
      </c>
      <c r="M26" s="12">
        <v>203</v>
      </c>
      <c r="N26" s="12"/>
      <c r="O26" s="10">
        <v>0.14599999999999999</v>
      </c>
      <c r="P26" s="11">
        <v>13140.49</v>
      </c>
      <c r="Q26" s="11">
        <f>Table1[[#This Row],['# Hours Assigned]]/Table1[[#This Row],[Revenue]]</f>
        <v>0.10487432356023253</v>
      </c>
      <c r="R26" s="13">
        <v>16</v>
      </c>
      <c r="S26" s="11">
        <v>1.73</v>
      </c>
      <c r="T26" s="11">
        <v>64.73</v>
      </c>
      <c r="U26" s="8">
        <v>2</v>
      </c>
      <c r="V26" s="8">
        <v>2</v>
      </c>
      <c r="W26" s="8"/>
      <c r="X26" s="14"/>
    </row>
    <row r="27" spans="1:24" x14ac:dyDescent="0.25">
      <c r="A27" s="15">
        <v>45323</v>
      </c>
      <c r="B27" s="16" t="s">
        <v>21</v>
      </c>
      <c r="C27" s="16" t="s">
        <v>30</v>
      </c>
      <c r="D27" s="16" t="s">
        <v>30</v>
      </c>
      <c r="E27" s="16" t="s">
        <v>23</v>
      </c>
      <c r="F27" s="17">
        <v>1221</v>
      </c>
      <c r="G27" s="17">
        <v>7439</v>
      </c>
      <c r="H27" s="16">
        <v>466</v>
      </c>
      <c r="I27" s="18">
        <v>0.75900000000000001</v>
      </c>
      <c r="J27" s="18">
        <v>6.2600000000000003E-2</v>
      </c>
      <c r="K27" s="16">
        <v>951.1</v>
      </c>
      <c r="L27" s="19">
        <v>15692.64</v>
      </c>
      <c r="M27" s="20">
        <v>49</v>
      </c>
      <c r="N27" s="20"/>
      <c r="O27" s="18">
        <v>0.105</v>
      </c>
      <c r="P27" s="19">
        <v>3228.98</v>
      </c>
      <c r="Q27" s="19">
        <f>Table1[[#This Row],['# Hours Assigned]]/Table1[[#This Row],[Revenue]]</f>
        <v>0.29455122050926297</v>
      </c>
      <c r="R27" s="21">
        <v>1</v>
      </c>
      <c r="S27" s="19">
        <v>4.8600000000000003</v>
      </c>
      <c r="T27" s="19">
        <v>65.900000000000006</v>
      </c>
      <c r="U27" s="16" t="s">
        <v>25</v>
      </c>
      <c r="V27" s="16" t="s">
        <v>25</v>
      </c>
      <c r="W27" s="16" t="s">
        <v>25</v>
      </c>
      <c r="X27" s="22"/>
    </row>
    <row r="28" spans="1:24" x14ac:dyDescent="0.25">
      <c r="A28" s="7">
        <v>45323</v>
      </c>
      <c r="B28" s="8" t="s">
        <v>21</v>
      </c>
      <c r="C28" s="8" t="s">
        <v>43</v>
      </c>
      <c r="D28" s="8" t="s">
        <v>32</v>
      </c>
      <c r="E28" s="23" t="s">
        <v>33</v>
      </c>
      <c r="F28" s="8">
        <v>292</v>
      </c>
      <c r="G28" s="8">
        <v>656</v>
      </c>
      <c r="H28" s="8">
        <v>62</v>
      </c>
      <c r="I28" s="10">
        <v>0.47099999999999997</v>
      </c>
      <c r="J28" s="10">
        <v>9.4500000000000001E-2</v>
      </c>
      <c r="K28" s="8">
        <v>25.8</v>
      </c>
      <c r="L28" s="11">
        <v>425.5</v>
      </c>
      <c r="M28" s="8"/>
      <c r="N28" s="8" t="s">
        <v>24</v>
      </c>
      <c r="O28" s="10">
        <v>0</v>
      </c>
      <c r="P28" s="11">
        <v>40</v>
      </c>
      <c r="Q28" s="11">
        <f>Table1[[#This Row],['# Hours Assigned]]/Table1[[#This Row],[Revenue]]</f>
        <v>0.64500000000000002</v>
      </c>
      <c r="R28" s="13" t="s">
        <v>24</v>
      </c>
      <c r="S28" s="11">
        <v>10.64</v>
      </c>
      <c r="T28" s="8" t="e">
        <v>#DIV/0!</v>
      </c>
      <c r="U28" s="8" t="s">
        <v>24</v>
      </c>
      <c r="V28" s="8" t="s">
        <v>25</v>
      </c>
      <c r="W28" s="8" t="s">
        <v>25</v>
      </c>
      <c r="X28" s="14"/>
    </row>
    <row r="29" spans="1:24" x14ac:dyDescent="0.25">
      <c r="A29" s="15">
        <v>45352</v>
      </c>
      <c r="B29" s="16" t="s">
        <v>21</v>
      </c>
      <c r="C29" s="16" t="s">
        <v>29</v>
      </c>
      <c r="D29" s="16" t="s">
        <v>29</v>
      </c>
      <c r="E29" s="16" t="s">
        <v>23</v>
      </c>
      <c r="F29" s="17">
        <v>3075</v>
      </c>
      <c r="G29" s="17">
        <v>23485</v>
      </c>
      <c r="H29" s="17">
        <v>1658</v>
      </c>
      <c r="I29" s="18">
        <v>0.91400000000000003</v>
      </c>
      <c r="J29" s="18">
        <v>7.0599999999999996E-2</v>
      </c>
      <c r="K29" s="17">
        <v>1596</v>
      </c>
      <c r="L29" s="19">
        <v>26340.09</v>
      </c>
      <c r="M29" s="20">
        <v>230</v>
      </c>
      <c r="N29" s="20"/>
      <c r="O29" s="18">
        <v>0.13869999999999999</v>
      </c>
      <c r="P29" s="19">
        <v>15627.62</v>
      </c>
      <c r="Q29" s="19">
        <f>Table1[[#This Row],['# Hours Assigned]]/Table1[[#This Row],[Revenue]]</f>
        <v>0.1021268753655387</v>
      </c>
      <c r="R29" s="16">
        <v>33</v>
      </c>
      <c r="S29" s="19">
        <v>1.69</v>
      </c>
      <c r="T29" s="19">
        <v>67.95</v>
      </c>
      <c r="U29" s="16">
        <v>5</v>
      </c>
      <c r="V29" s="16">
        <v>2</v>
      </c>
      <c r="W29" s="16">
        <v>3</v>
      </c>
      <c r="X29" s="22"/>
    </row>
    <row r="30" spans="1:24" x14ac:dyDescent="0.25">
      <c r="A30" s="7">
        <v>45352</v>
      </c>
      <c r="B30" s="8" t="s">
        <v>21</v>
      </c>
      <c r="C30" s="8" t="s">
        <v>27</v>
      </c>
      <c r="D30" s="8" t="s">
        <v>27</v>
      </c>
      <c r="E30" s="8" t="s">
        <v>23</v>
      </c>
      <c r="F30" s="9">
        <v>3824</v>
      </c>
      <c r="G30" s="9">
        <v>27383</v>
      </c>
      <c r="H30" s="9">
        <v>1899</v>
      </c>
      <c r="I30" s="10">
        <v>0.90900000000000003</v>
      </c>
      <c r="J30" s="10">
        <v>6.93E-2</v>
      </c>
      <c r="K30" s="9">
        <v>1570</v>
      </c>
      <c r="L30" s="11">
        <v>25903.95</v>
      </c>
      <c r="M30" s="8">
        <v>190</v>
      </c>
      <c r="N30" s="8"/>
      <c r="O30" s="10">
        <v>0.10009999999999999</v>
      </c>
      <c r="P30" s="11">
        <v>13459.07</v>
      </c>
      <c r="Q30" s="11">
        <f>Table1[[#This Row],['# Hours Assigned]]/Table1[[#This Row],[Revenue]]</f>
        <v>0.11664996169869092</v>
      </c>
      <c r="R30" s="13">
        <v>14</v>
      </c>
      <c r="S30" s="11">
        <v>1.92</v>
      </c>
      <c r="T30" s="11">
        <v>70.84</v>
      </c>
      <c r="U30" s="8">
        <v>1</v>
      </c>
      <c r="V30" s="8">
        <v>1</v>
      </c>
      <c r="W30" s="8" t="s">
        <v>25</v>
      </c>
      <c r="X30" s="14"/>
    </row>
    <row r="31" spans="1:24" x14ac:dyDescent="0.25">
      <c r="A31" s="15">
        <v>45352</v>
      </c>
      <c r="B31" s="16" t="s">
        <v>21</v>
      </c>
      <c r="C31" s="16" t="s">
        <v>30</v>
      </c>
      <c r="D31" s="16" t="s">
        <v>30</v>
      </c>
      <c r="E31" s="16" t="s">
        <v>23</v>
      </c>
      <c r="F31" s="17">
        <v>1245</v>
      </c>
      <c r="G31" s="17">
        <v>9951</v>
      </c>
      <c r="H31" s="16">
        <v>481</v>
      </c>
      <c r="I31" s="18">
        <v>0.85299999999999998</v>
      </c>
      <c r="J31" s="18">
        <v>4.8300000000000003E-2</v>
      </c>
      <c r="K31" s="17">
        <v>1117</v>
      </c>
      <c r="L31" s="19">
        <v>18431.060000000001</v>
      </c>
      <c r="M31" s="16">
        <v>54</v>
      </c>
      <c r="N31" s="16"/>
      <c r="O31" s="18">
        <v>0.1123</v>
      </c>
      <c r="P31" s="19">
        <v>2918</v>
      </c>
      <c r="Q31" s="19">
        <f>Table1[[#This Row],['# Hours Assigned]]/Table1[[#This Row],[Revenue]]</f>
        <v>0.38279643591501028</v>
      </c>
      <c r="R31" s="21">
        <v>3</v>
      </c>
      <c r="S31" s="19">
        <v>6.32</v>
      </c>
      <c r="T31" s="19">
        <v>54.04</v>
      </c>
      <c r="U31" s="16" t="s">
        <v>25</v>
      </c>
      <c r="V31" s="16" t="s">
        <v>25</v>
      </c>
      <c r="W31" s="16" t="s">
        <v>25</v>
      </c>
      <c r="X31" s="22"/>
    </row>
    <row r="32" spans="1:24" x14ac:dyDescent="0.25">
      <c r="A32" s="7">
        <v>45352</v>
      </c>
      <c r="B32" s="8" t="s">
        <v>21</v>
      </c>
      <c r="C32" s="8" t="s">
        <v>22</v>
      </c>
      <c r="D32" s="8" t="s">
        <v>22</v>
      </c>
      <c r="E32" s="8" t="s">
        <v>23</v>
      </c>
      <c r="F32" s="8">
        <v>576</v>
      </c>
      <c r="G32" s="9">
        <v>5555</v>
      </c>
      <c r="H32" s="8">
        <v>305</v>
      </c>
      <c r="I32" s="10">
        <v>0.55000000000000004</v>
      </c>
      <c r="J32" s="10">
        <v>5.4899999999999997E-2</v>
      </c>
      <c r="K32" s="8">
        <v>180</v>
      </c>
      <c r="L32" s="11">
        <v>2966.29</v>
      </c>
      <c r="M32" s="8">
        <v>2</v>
      </c>
      <c r="N32" s="8"/>
      <c r="O32" s="10">
        <v>6.6E-3</v>
      </c>
      <c r="P32" s="11">
        <v>55.09</v>
      </c>
      <c r="Q32" s="11">
        <f>Table1[[#This Row],['# Hours Assigned]]/Table1[[#This Row],[Revenue]]</f>
        <v>3.2673806498457068</v>
      </c>
      <c r="R32" s="13">
        <v>1</v>
      </c>
      <c r="S32" s="11">
        <v>53.84</v>
      </c>
      <c r="T32" s="11">
        <v>27.55</v>
      </c>
      <c r="U32" s="8">
        <v>2</v>
      </c>
      <c r="V32" s="8">
        <v>1</v>
      </c>
      <c r="W32" s="8">
        <v>1</v>
      </c>
      <c r="X32" s="14"/>
    </row>
    <row r="33" spans="1:24" x14ac:dyDescent="0.25">
      <c r="A33" s="15">
        <v>45352</v>
      </c>
      <c r="B33" s="16" t="s">
        <v>21</v>
      </c>
      <c r="C33" s="16" t="s">
        <v>26</v>
      </c>
      <c r="D33" s="16" t="s">
        <v>26</v>
      </c>
      <c r="E33" s="16" t="s">
        <v>23</v>
      </c>
      <c r="F33" s="17">
        <v>2073</v>
      </c>
      <c r="G33" s="17">
        <v>12111</v>
      </c>
      <c r="H33" s="17">
        <v>1714</v>
      </c>
      <c r="I33" s="18">
        <v>0.90500000000000003</v>
      </c>
      <c r="J33" s="18">
        <v>0.14149999999999999</v>
      </c>
      <c r="K33" s="17">
        <v>1222</v>
      </c>
      <c r="L33" s="19">
        <v>20170.86</v>
      </c>
      <c r="M33" s="16">
        <v>80</v>
      </c>
      <c r="N33" s="16"/>
      <c r="O33" s="18">
        <v>4.6699999999999998E-2</v>
      </c>
      <c r="P33" s="19">
        <v>5980.32</v>
      </c>
      <c r="Q33" s="19">
        <f>Table1[[#This Row],['# Hours Assigned]]/Table1[[#This Row],[Revenue]]</f>
        <v>0.20433689167134869</v>
      </c>
      <c r="R33" s="21" t="s">
        <v>24</v>
      </c>
      <c r="S33" s="19">
        <v>3.37</v>
      </c>
      <c r="T33" s="19">
        <v>74.75</v>
      </c>
      <c r="U33" s="16">
        <v>11</v>
      </c>
      <c r="V33" s="16">
        <v>3</v>
      </c>
      <c r="W33" s="16">
        <v>8</v>
      </c>
      <c r="X33" s="22"/>
    </row>
    <row r="34" spans="1:24" x14ac:dyDescent="0.25">
      <c r="A34" s="7">
        <v>45352</v>
      </c>
      <c r="B34" s="8" t="s">
        <v>21</v>
      </c>
      <c r="C34" s="8" t="s">
        <v>28</v>
      </c>
      <c r="D34" s="8" t="s">
        <v>28</v>
      </c>
      <c r="E34" s="8" t="s">
        <v>23</v>
      </c>
      <c r="F34" s="9">
        <v>2685</v>
      </c>
      <c r="G34" s="9">
        <v>40460</v>
      </c>
      <c r="H34" s="8">
        <v>868</v>
      </c>
      <c r="I34" s="10">
        <v>0.65600000000000003</v>
      </c>
      <c r="J34" s="10">
        <v>2.1499999999999998E-2</v>
      </c>
      <c r="K34" s="8">
        <v>919</v>
      </c>
      <c r="L34" s="11">
        <v>15166.6</v>
      </c>
      <c r="M34" s="8">
        <v>36</v>
      </c>
      <c r="N34" s="8"/>
      <c r="O34" s="10">
        <v>4.1500000000000002E-2</v>
      </c>
      <c r="P34" s="11">
        <v>2596.5100000000002</v>
      </c>
      <c r="Q34" s="11">
        <f>Table1[[#This Row],['# Hours Assigned]]/Table1[[#This Row],[Revenue]]</f>
        <v>0.35393663032301048</v>
      </c>
      <c r="R34" s="13" t="s">
        <v>24</v>
      </c>
      <c r="S34" s="11">
        <v>5.84</v>
      </c>
      <c r="T34" s="11">
        <v>72.13</v>
      </c>
      <c r="U34" s="8">
        <v>1</v>
      </c>
      <c r="V34" s="8">
        <v>1</v>
      </c>
      <c r="W34" s="8" t="s">
        <v>24</v>
      </c>
      <c r="X34" s="14"/>
    </row>
    <row r="35" spans="1:24" x14ac:dyDescent="0.25">
      <c r="A35" s="15">
        <v>45352</v>
      </c>
      <c r="B35" s="16" t="s">
        <v>21</v>
      </c>
      <c r="C35" s="16" t="s">
        <v>39</v>
      </c>
      <c r="D35" s="16" t="s">
        <v>39</v>
      </c>
      <c r="E35" s="23" t="s">
        <v>33</v>
      </c>
      <c r="F35" s="17">
        <v>5280</v>
      </c>
      <c r="G35" s="17">
        <v>18824</v>
      </c>
      <c r="H35" s="17">
        <v>2310</v>
      </c>
      <c r="I35" s="18">
        <v>0.97099999999999997</v>
      </c>
      <c r="J35" s="18">
        <v>0.1227</v>
      </c>
      <c r="K35" s="16">
        <v>934</v>
      </c>
      <c r="L35" s="19">
        <v>15409.36</v>
      </c>
      <c r="M35" s="16"/>
      <c r="N35" s="16"/>
      <c r="O35" s="18">
        <v>0.219</v>
      </c>
      <c r="P35" s="19">
        <v>34419.599999999999</v>
      </c>
      <c r="Q35" s="19">
        <f>Table1[[#This Row],['# Hours Assigned]]/Table1[[#This Row],[Revenue]]</f>
        <v>2.7135701751327734E-2</v>
      </c>
      <c r="R35" s="32">
        <v>7</v>
      </c>
      <c r="S35" s="19">
        <v>0.45</v>
      </c>
      <c r="T35" s="16" t="e">
        <v>#DIV/0!</v>
      </c>
      <c r="U35" s="16">
        <v>13</v>
      </c>
      <c r="V35" s="16">
        <v>3</v>
      </c>
      <c r="W35" s="16">
        <v>10</v>
      </c>
      <c r="X35" s="22"/>
    </row>
    <row r="36" spans="1:24" x14ac:dyDescent="0.25">
      <c r="A36" s="7">
        <v>45352</v>
      </c>
      <c r="B36" s="8" t="s">
        <v>21</v>
      </c>
      <c r="C36" s="8" t="s">
        <v>20</v>
      </c>
      <c r="D36" s="8" t="s">
        <v>32</v>
      </c>
      <c r="E36" s="23" t="s">
        <v>33</v>
      </c>
      <c r="F36" s="9">
        <v>5729</v>
      </c>
      <c r="G36" s="9">
        <v>27823</v>
      </c>
      <c r="H36" s="9">
        <v>2830</v>
      </c>
      <c r="I36" s="10">
        <v>0.92200000000000004</v>
      </c>
      <c r="J36" s="10">
        <v>0.1017</v>
      </c>
      <c r="K36" s="9">
        <v>1224</v>
      </c>
      <c r="L36" s="11">
        <v>20190.740000000002</v>
      </c>
      <c r="M36" s="8"/>
      <c r="N36" s="8"/>
      <c r="O36" s="10">
        <v>0.2389</v>
      </c>
      <c r="P36" s="11">
        <v>32570.63</v>
      </c>
      <c r="Q36" s="11">
        <f>Table1[[#This Row],['# Hours Assigned]]/Table1[[#This Row],[Revenue]]</f>
        <v>3.757986873450099E-2</v>
      </c>
      <c r="R36" s="13">
        <v>23</v>
      </c>
      <c r="S36" s="11">
        <v>0.62</v>
      </c>
      <c r="T36" s="8" t="e">
        <v>#DIV/0!</v>
      </c>
      <c r="U36" s="8">
        <v>3</v>
      </c>
      <c r="V36" s="8">
        <v>1</v>
      </c>
      <c r="W36" s="8">
        <v>2</v>
      </c>
      <c r="X36" s="14"/>
    </row>
    <row r="37" spans="1:24" x14ac:dyDescent="0.25">
      <c r="A37" s="15">
        <v>45352</v>
      </c>
      <c r="B37" s="16" t="s">
        <v>21</v>
      </c>
      <c r="C37" s="16" t="s">
        <v>43</v>
      </c>
      <c r="D37" s="16" t="s">
        <v>32</v>
      </c>
      <c r="E37" s="23" t="s">
        <v>33</v>
      </c>
      <c r="F37" s="16">
        <v>372</v>
      </c>
      <c r="G37" s="16">
        <v>763</v>
      </c>
      <c r="H37" s="16">
        <v>42</v>
      </c>
      <c r="I37" s="18">
        <v>0.28199999999999997</v>
      </c>
      <c r="J37" s="18">
        <v>5.5E-2</v>
      </c>
      <c r="K37" s="16">
        <v>132</v>
      </c>
      <c r="L37" s="19">
        <v>2176.6</v>
      </c>
      <c r="M37" s="16"/>
      <c r="N37" s="16"/>
      <c r="O37" s="18">
        <v>0</v>
      </c>
      <c r="P37" s="16" t="s">
        <v>44</v>
      </c>
      <c r="Q37" s="19" t="e">
        <f>Table1[[#This Row],['# Hours Assigned]]/Table1[[#This Row],[Revenue]]</f>
        <v>#VALUE!</v>
      </c>
      <c r="R37" s="32" t="s">
        <v>25</v>
      </c>
      <c r="S37" s="16" t="s">
        <v>42</v>
      </c>
      <c r="T37" s="16" t="e">
        <v>#VALUE!</v>
      </c>
      <c r="U37" s="16" t="s">
        <v>24</v>
      </c>
      <c r="V37" s="16" t="s">
        <v>25</v>
      </c>
      <c r="W37" s="16"/>
      <c r="X37" s="22"/>
    </row>
    <row r="38" spans="1:24" x14ac:dyDescent="0.25">
      <c r="A38" s="7">
        <v>45352</v>
      </c>
      <c r="B38" s="8" t="s">
        <v>21</v>
      </c>
      <c r="C38" s="23" t="s">
        <v>31</v>
      </c>
      <c r="D38" s="8" t="s">
        <v>32</v>
      </c>
      <c r="E38" s="8" t="s">
        <v>33</v>
      </c>
      <c r="F38" s="8">
        <v>891</v>
      </c>
      <c r="G38" s="9">
        <v>5138</v>
      </c>
      <c r="H38" s="8">
        <v>679</v>
      </c>
      <c r="I38" s="10">
        <v>0.92100000000000004</v>
      </c>
      <c r="J38" s="10">
        <v>0.13220000000000001</v>
      </c>
      <c r="K38" s="8">
        <v>324</v>
      </c>
      <c r="L38" s="11">
        <v>5337.8</v>
      </c>
      <c r="M38" s="8"/>
      <c r="N38" s="8"/>
      <c r="O38" s="10">
        <v>0.15759999999999999</v>
      </c>
      <c r="P38" s="11">
        <v>3344.09</v>
      </c>
      <c r="Q38" s="11">
        <f>Table1[[#This Row],['# Hours Assigned]]/Table1[[#This Row],[Revenue]]</f>
        <v>9.6887344539172082E-2</v>
      </c>
      <c r="R38" s="32">
        <v>1</v>
      </c>
      <c r="S38" s="11">
        <v>1.6</v>
      </c>
      <c r="T38" s="8" t="e">
        <v>#DIV/0!</v>
      </c>
      <c r="U38" s="8" t="s">
        <v>24</v>
      </c>
      <c r="V38" s="8" t="s">
        <v>25</v>
      </c>
      <c r="W38" s="8"/>
      <c r="X38" s="14"/>
    </row>
    <row r="39" spans="1:24" x14ac:dyDescent="0.25">
      <c r="A39" s="15">
        <v>45352</v>
      </c>
      <c r="B39" s="16" t="s">
        <v>21</v>
      </c>
      <c r="C39" s="23" t="s">
        <v>41</v>
      </c>
      <c r="D39" s="23" t="s">
        <v>32</v>
      </c>
      <c r="E39" s="23" t="s">
        <v>33</v>
      </c>
      <c r="F39" s="17">
        <v>3378</v>
      </c>
      <c r="G39" s="17">
        <v>7713</v>
      </c>
      <c r="H39" s="17">
        <v>1295</v>
      </c>
      <c r="I39" s="18">
        <v>0.90600000000000003</v>
      </c>
      <c r="J39" s="18">
        <v>0.16789999999999999</v>
      </c>
      <c r="K39" s="16">
        <v>635</v>
      </c>
      <c r="L39" s="19">
        <v>10481.36</v>
      </c>
      <c r="M39" s="16"/>
      <c r="N39" s="16"/>
      <c r="O39" s="18">
        <v>0</v>
      </c>
      <c r="P39" s="16" t="s">
        <v>44</v>
      </c>
      <c r="Q39" s="19" t="e">
        <f>Table1[[#This Row],['# Hours Assigned]]/Table1[[#This Row],[Revenue]]</f>
        <v>#VALUE!</v>
      </c>
      <c r="R39" s="32">
        <v>14</v>
      </c>
      <c r="S39" s="16" t="s">
        <v>42</v>
      </c>
      <c r="T39" s="16" t="e">
        <v>#VALUE!</v>
      </c>
      <c r="U39" s="16">
        <v>15</v>
      </c>
      <c r="V39" s="16">
        <v>2</v>
      </c>
      <c r="W39" s="16">
        <v>13</v>
      </c>
      <c r="X39" s="22"/>
    </row>
    <row r="40" spans="1:24" x14ac:dyDescent="0.25">
      <c r="A40" s="7">
        <v>45352</v>
      </c>
      <c r="B40" s="8" t="s">
        <v>21</v>
      </c>
      <c r="C40" s="8" t="s">
        <v>34</v>
      </c>
      <c r="D40" s="23" t="s">
        <v>35</v>
      </c>
      <c r="E40" s="23" t="s">
        <v>33</v>
      </c>
      <c r="F40" s="9">
        <v>1067</v>
      </c>
      <c r="G40" s="9">
        <v>5297</v>
      </c>
      <c r="H40" s="8">
        <v>516</v>
      </c>
      <c r="I40" s="10">
        <v>0.82699999999999996</v>
      </c>
      <c r="J40" s="10">
        <v>9.74E-2</v>
      </c>
      <c r="K40" s="8">
        <v>242</v>
      </c>
      <c r="L40" s="11">
        <v>3987.39</v>
      </c>
      <c r="M40" s="8"/>
      <c r="N40" s="8">
        <v>12</v>
      </c>
      <c r="O40" s="10">
        <v>2.3300000000000001E-2</v>
      </c>
      <c r="P40" s="11">
        <v>387.45</v>
      </c>
      <c r="Q40" s="11">
        <f>Table1[[#This Row],['# Hours Assigned]]/Table1[[#This Row],[Revenue]]</f>
        <v>0.62459672215769779</v>
      </c>
      <c r="R40" s="32" t="s">
        <v>24</v>
      </c>
      <c r="S40" s="11">
        <v>10.29</v>
      </c>
      <c r="T40" s="8" t="e">
        <v>#DIV/0!</v>
      </c>
      <c r="U40" s="8">
        <v>4</v>
      </c>
      <c r="V40" s="8">
        <v>2</v>
      </c>
      <c r="W40" s="8">
        <v>2</v>
      </c>
      <c r="X40" s="14"/>
    </row>
    <row r="41" spans="1:24" x14ac:dyDescent="0.25">
      <c r="A41" s="15">
        <v>45352</v>
      </c>
      <c r="B41" s="16" t="s">
        <v>21</v>
      </c>
      <c r="C41" s="16" t="s">
        <v>36</v>
      </c>
      <c r="D41" s="31" t="s">
        <v>37</v>
      </c>
      <c r="E41" s="23" t="s">
        <v>38</v>
      </c>
      <c r="F41" s="33" t="s">
        <v>24</v>
      </c>
      <c r="G41" s="17">
        <v>387283</v>
      </c>
      <c r="H41" s="17">
        <v>10283</v>
      </c>
      <c r="I41" s="18">
        <v>0</v>
      </c>
      <c r="J41" s="18">
        <v>2.6599999999999999E-2</v>
      </c>
      <c r="K41" s="16" t="s">
        <v>24</v>
      </c>
      <c r="L41" s="16" t="s">
        <v>45</v>
      </c>
      <c r="M41" s="16"/>
      <c r="N41" s="16"/>
      <c r="O41" s="34">
        <v>0</v>
      </c>
      <c r="P41" s="19">
        <v>847.78</v>
      </c>
      <c r="Q41" s="19" t="e">
        <f>Table1[[#This Row],['# Hours Assigned]]/Table1[[#This Row],[Revenue]]</f>
        <v>#VALUE!</v>
      </c>
      <c r="R41" s="32">
        <v>62</v>
      </c>
      <c r="S41" s="16" t="s">
        <v>42</v>
      </c>
      <c r="T41" s="16" t="e">
        <v>#DIV/0!</v>
      </c>
      <c r="U41" s="16">
        <v>147</v>
      </c>
      <c r="V41" s="16">
        <v>70</v>
      </c>
      <c r="W41" s="16">
        <v>77</v>
      </c>
      <c r="X41" s="22"/>
    </row>
    <row r="42" spans="1:24" x14ac:dyDescent="0.25">
      <c r="A42" s="7">
        <v>45352</v>
      </c>
      <c r="B42" s="8" t="s">
        <v>21</v>
      </c>
      <c r="C42" s="8" t="s">
        <v>40</v>
      </c>
      <c r="D42" s="8" t="s">
        <v>32</v>
      </c>
      <c r="E42" s="23" t="s">
        <v>33</v>
      </c>
      <c r="F42" s="9">
        <v>4743</v>
      </c>
      <c r="G42" s="9">
        <v>10202</v>
      </c>
      <c r="H42" s="9">
        <v>1574</v>
      </c>
      <c r="I42" s="10">
        <v>0.94299999999999995</v>
      </c>
      <c r="J42" s="10">
        <v>0.15429999999999999</v>
      </c>
      <c r="K42" s="8">
        <v>516</v>
      </c>
      <c r="L42" s="11">
        <v>8509.92</v>
      </c>
      <c r="M42" s="8"/>
      <c r="N42" s="8"/>
      <c r="O42" s="8">
        <v>0</v>
      </c>
      <c r="P42" s="11">
        <v>3213.92</v>
      </c>
      <c r="Q42" s="11">
        <f>Table1[[#This Row],['# Hours Assigned]]/Table1[[#This Row],[Revenue]]</f>
        <v>0.16055160053766118</v>
      </c>
      <c r="R42" s="32">
        <v>5</v>
      </c>
      <c r="S42" s="11">
        <v>2.65</v>
      </c>
      <c r="T42" s="8" t="e">
        <v>#DIV/0!</v>
      </c>
      <c r="U42" s="8">
        <v>8</v>
      </c>
      <c r="V42" s="8">
        <v>1</v>
      </c>
      <c r="W42" s="8">
        <v>7</v>
      </c>
      <c r="X42" s="14"/>
    </row>
    <row r="43" spans="1:24" x14ac:dyDescent="0.25">
      <c r="A43" s="15">
        <v>45352</v>
      </c>
      <c r="B43" s="16" t="s">
        <v>21</v>
      </c>
      <c r="C43" s="16" t="s">
        <v>46</v>
      </c>
      <c r="D43" s="16" t="s">
        <v>46</v>
      </c>
      <c r="E43" s="16" t="s">
        <v>38</v>
      </c>
      <c r="F43" s="17">
        <v>329792</v>
      </c>
      <c r="G43" s="17">
        <v>1334340</v>
      </c>
      <c r="H43" s="17">
        <v>50993</v>
      </c>
      <c r="I43" s="18">
        <v>0.58399999999999996</v>
      </c>
      <c r="J43" s="18">
        <v>3.8199999999999998E-2</v>
      </c>
      <c r="K43" s="17">
        <v>8375</v>
      </c>
      <c r="L43" s="19">
        <v>138189.25</v>
      </c>
      <c r="M43" s="16"/>
      <c r="N43" s="35"/>
      <c r="O43" s="18">
        <v>0</v>
      </c>
      <c r="P43" s="19">
        <v>10239</v>
      </c>
      <c r="Q43" s="19">
        <f>Table1[[#This Row],['# Hours Assigned]]/Table1[[#This Row],[Revenue]]</f>
        <v>0.81795097177458731</v>
      </c>
      <c r="R43" s="16">
        <v>248</v>
      </c>
      <c r="S43" s="19">
        <v>13.5</v>
      </c>
      <c r="T43" s="16" t="e">
        <v>#DIV/0!</v>
      </c>
      <c r="U43" s="16"/>
      <c r="V43" s="16"/>
      <c r="W43" s="16"/>
      <c r="X43" s="22"/>
    </row>
    <row r="44" spans="1:24" x14ac:dyDescent="0.25">
      <c r="A44" s="7">
        <v>45352</v>
      </c>
      <c r="B44" s="8" t="s">
        <v>21</v>
      </c>
      <c r="C44" s="8" t="s">
        <v>47</v>
      </c>
      <c r="D44" s="8" t="s">
        <v>47</v>
      </c>
      <c r="E44" s="8" t="s">
        <v>38</v>
      </c>
      <c r="F44" s="8">
        <v>395</v>
      </c>
      <c r="G44" s="8"/>
      <c r="H44" s="8">
        <v>395</v>
      </c>
      <c r="I44" s="8"/>
      <c r="J44" s="8" t="e">
        <v>#DIV/0!</v>
      </c>
      <c r="K44" s="8">
        <v>40</v>
      </c>
      <c r="L44" s="11">
        <v>330</v>
      </c>
      <c r="M44" s="8"/>
      <c r="N44" s="8">
        <v>12</v>
      </c>
      <c r="O44" s="8"/>
      <c r="P44" s="11">
        <v>1858.99</v>
      </c>
      <c r="Q44" s="11">
        <f>Table1[[#This Row],['# Hours Assigned]]/Table1[[#This Row],[Revenue]]</f>
        <v>2.1517060339216455E-2</v>
      </c>
      <c r="R44" s="13">
        <v>1</v>
      </c>
      <c r="S44" s="11">
        <v>0.18</v>
      </c>
      <c r="T44" s="11">
        <v>154.91999999999999</v>
      </c>
      <c r="U44" s="8"/>
      <c r="V44" s="8"/>
      <c r="W44" s="8"/>
      <c r="X44" s="14"/>
    </row>
    <row r="45" spans="1:24" x14ac:dyDescent="0.25">
      <c r="A45" s="7">
        <v>45688</v>
      </c>
      <c r="B45" s="8" t="s">
        <v>21</v>
      </c>
      <c r="C45" s="8" t="s">
        <v>49</v>
      </c>
      <c r="D45" s="8" t="s">
        <v>29</v>
      </c>
      <c r="E45" s="8" t="s">
        <v>23</v>
      </c>
      <c r="F45" s="8">
        <v>2715</v>
      </c>
      <c r="G45" s="9">
        <v>23098</v>
      </c>
      <c r="H45" s="8">
        <v>2522</v>
      </c>
      <c r="I45" s="36">
        <v>0.94</v>
      </c>
      <c r="J45" s="10">
        <v>7.85E-2</v>
      </c>
      <c r="K45" s="8">
        <v>1293.1820029999999</v>
      </c>
      <c r="L45" s="11">
        <v>21337.5</v>
      </c>
      <c r="M45" s="37">
        <v>198</v>
      </c>
      <c r="N45" s="8"/>
      <c r="O45" s="10">
        <v>7.85E-2</v>
      </c>
      <c r="P45" s="11">
        <v>11911.87</v>
      </c>
      <c r="Q45" s="11">
        <f>Table1[[#This Row],['# Hours Assigned]]/Table1[[#This Row],[Revenue]]</f>
        <v>0.10856246777374164</v>
      </c>
      <c r="R45" s="8">
        <v>23</v>
      </c>
      <c r="S45" s="11">
        <v>1.79</v>
      </c>
      <c r="T45" s="11">
        <v>60.16</v>
      </c>
      <c r="U45" s="8">
        <v>3</v>
      </c>
      <c r="V45" s="23">
        <v>2</v>
      </c>
      <c r="W45" s="8">
        <v>0</v>
      </c>
      <c r="X45" s="38"/>
    </row>
    <row r="46" spans="1:24" x14ac:dyDescent="0.25">
      <c r="A46" s="15">
        <v>45688</v>
      </c>
      <c r="B46" s="16" t="s">
        <v>21</v>
      </c>
      <c r="C46" s="16" t="s">
        <v>27</v>
      </c>
      <c r="D46" s="16" t="s">
        <v>27</v>
      </c>
      <c r="E46" s="16" t="s">
        <v>23</v>
      </c>
      <c r="F46" s="16">
        <v>3686</v>
      </c>
      <c r="G46" s="17">
        <v>26822</v>
      </c>
      <c r="H46" s="16">
        <v>2878</v>
      </c>
      <c r="I46" s="39">
        <v>0.94</v>
      </c>
      <c r="J46" s="18">
        <v>6.8500000000000005E-2</v>
      </c>
      <c r="K46" s="16">
        <v>2889.7699739999998</v>
      </c>
      <c r="L46" s="19">
        <v>47681.2</v>
      </c>
      <c r="M46" s="40">
        <v>197</v>
      </c>
      <c r="N46" s="16"/>
      <c r="O46" s="18">
        <v>6.8500000000000005E-2</v>
      </c>
      <c r="P46" s="19">
        <v>11883.99</v>
      </c>
      <c r="Q46" s="19">
        <f>Table1[[#This Row],['# Hours Assigned]]/Table1[[#This Row],[Revenue]]</f>
        <v>0.24316496176789107</v>
      </c>
      <c r="R46" s="16">
        <v>20</v>
      </c>
      <c r="S46" s="19">
        <v>4.01</v>
      </c>
      <c r="T46" s="19">
        <v>60.32</v>
      </c>
      <c r="U46" s="16">
        <v>5</v>
      </c>
      <c r="V46" s="23">
        <v>4</v>
      </c>
      <c r="W46" s="16">
        <v>0</v>
      </c>
      <c r="X46" s="38"/>
    </row>
    <row r="47" spans="1:24" x14ac:dyDescent="0.25">
      <c r="A47" s="7">
        <v>45688</v>
      </c>
      <c r="B47" s="8" t="s">
        <v>21</v>
      </c>
      <c r="C47" s="8" t="s">
        <v>30</v>
      </c>
      <c r="D47" s="8" t="s">
        <v>30</v>
      </c>
      <c r="E47" s="8" t="s">
        <v>23</v>
      </c>
      <c r="F47" s="8">
        <v>1895</v>
      </c>
      <c r="G47" s="9">
        <v>9498</v>
      </c>
      <c r="H47" s="8">
        <v>689</v>
      </c>
      <c r="I47" s="36">
        <v>0.76</v>
      </c>
      <c r="J47" s="10">
        <v>5.2200000000000003E-2</v>
      </c>
      <c r="K47" s="8">
        <v>593.57246689999999</v>
      </c>
      <c r="L47" s="11">
        <v>9793.9500000000007</v>
      </c>
      <c r="M47" s="37">
        <v>36</v>
      </c>
      <c r="N47" s="12"/>
      <c r="O47" s="10">
        <v>5.2200000000000003E-2</v>
      </c>
      <c r="P47" s="11">
        <v>2273</v>
      </c>
      <c r="Q47" s="11">
        <f>Table1[[#This Row],['# Hours Assigned]]/Table1[[#This Row],[Revenue]]</f>
        <v>0.2611405485701716</v>
      </c>
      <c r="R47" s="8">
        <v>3</v>
      </c>
      <c r="S47" s="11">
        <v>4.3099999999999996</v>
      </c>
      <c r="T47" s="11">
        <v>63.14</v>
      </c>
      <c r="U47" s="8">
        <v>0</v>
      </c>
      <c r="V47" s="23">
        <v>0</v>
      </c>
      <c r="W47" s="8">
        <v>0</v>
      </c>
      <c r="X47" s="38"/>
    </row>
    <row r="48" spans="1:24" x14ac:dyDescent="0.25">
      <c r="A48" s="15">
        <v>45688</v>
      </c>
      <c r="B48" s="16" t="s">
        <v>21</v>
      </c>
      <c r="C48" s="16" t="s">
        <v>50</v>
      </c>
      <c r="D48" s="16" t="s">
        <v>26</v>
      </c>
      <c r="E48" s="16" t="s">
        <v>23</v>
      </c>
      <c r="F48" s="16">
        <v>5197</v>
      </c>
      <c r="G48" s="17">
        <v>9234</v>
      </c>
      <c r="H48" s="16">
        <v>999</v>
      </c>
      <c r="I48" s="39">
        <v>0.98</v>
      </c>
      <c r="J48" s="18">
        <v>0.1321</v>
      </c>
      <c r="K48" s="16">
        <v>864.97317940000005</v>
      </c>
      <c r="L48" s="19">
        <v>14272.06</v>
      </c>
      <c r="M48" s="40">
        <v>132</v>
      </c>
      <c r="N48" s="16"/>
      <c r="O48" s="18">
        <v>0.1321</v>
      </c>
      <c r="P48" s="19">
        <v>9183.9699999999993</v>
      </c>
      <c r="Q48" s="19">
        <f>Table1[[#This Row],['# Hours Assigned]]/Table1[[#This Row],[Revenue]]</f>
        <v>9.4182927361478763E-2</v>
      </c>
      <c r="R48" s="16">
        <v>4</v>
      </c>
      <c r="S48" s="19">
        <v>1.55</v>
      </c>
      <c r="T48" s="19">
        <v>69.58</v>
      </c>
      <c r="U48" s="16">
        <v>5</v>
      </c>
      <c r="V48" s="23">
        <v>3</v>
      </c>
      <c r="W48" s="16">
        <v>0</v>
      </c>
      <c r="X48" s="38"/>
    </row>
    <row r="49" spans="1:24" x14ac:dyDescent="0.25">
      <c r="A49" s="7">
        <v>45688</v>
      </c>
      <c r="B49" s="8" t="s">
        <v>21</v>
      </c>
      <c r="C49" s="8" t="s">
        <v>28</v>
      </c>
      <c r="D49" s="8" t="s">
        <v>51</v>
      </c>
      <c r="E49" s="8" t="s">
        <v>23</v>
      </c>
      <c r="F49" s="8">
        <v>3760</v>
      </c>
      <c r="G49" s="9">
        <v>52246</v>
      </c>
      <c r="H49" s="8">
        <v>1728</v>
      </c>
      <c r="I49" s="36">
        <v>0.78</v>
      </c>
      <c r="J49" s="10">
        <v>3.5900000000000001E-2</v>
      </c>
      <c r="K49" s="8">
        <v>1243.978114</v>
      </c>
      <c r="L49" s="11">
        <v>20525.64</v>
      </c>
      <c r="M49" s="37">
        <v>62</v>
      </c>
      <c r="N49" s="8"/>
      <c r="O49" s="10">
        <v>3.5900000000000001E-2</v>
      </c>
      <c r="P49" s="11">
        <v>3768.99</v>
      </c>
      <c r="Q49" s="11">
        <f>Table1[[#This Row],['# Hours Assigned]]/Table1[[#This Row],[Revenue]]</f>
        <v>0.33005609301165567</v>
      </c>
      <c r="R49" s="8">
        <v>4</v>
      </c>
      <c r="S49" s="11">
        <v>5.45</v>
      </c>
      <c r="T49" s="11">
        <v>60.79</v>
      </c>
      <c r="U49" s="8">
        <v>3</v>
      </c>
      <c r="V49" s="23">
        <v>2</v>
      </c>
      <c r="W49" s="8">
        <v>0</v>
      </c>
      <c r="X49" s="38"/>
    </row>
    <row r="50" spans="1:24" x14ac:dyDescent="0.25">
      <c r="A50" s="15">
        <v>45688</v>
      </c>
      <c r="B50" s="16" t="s">
        <v>21</v>
      </c>
      <c r="C50" s="16" t="s">
        <v>52</v>
      </c>
      <c r="D50" s="16" t="s">
        <v>53</v>
      </c>
      <c r="E50" s="16" t="s">
        <v>23</v>
      </c>
      <c r="F50" s="16">
        <v>0</v>
      </c>
      <c r="G50" s="17">
        <v>7596</v>
      </c>
      <c r="H50" s="16">
        <v>294</v>
      </c>
      <c r="I50" s="39">
        <v>0.72</v>
      </c>
      <c r="J50" s="18">
        <v>1.0200000000000001E-2</v>
      </c>
      <c r="K50" s="16">
        <v>41.99732083</v>
      </c>
      <c r="L50" s="19">
        <v>692.96</v>
      </c>
      <c r="M50" s="40">
        <v>3</v>
      </c>
      <c r="N50" s="16"/>
      <c r="O50" s="18">
        <v>1.0200000000000001E-2</v>
      </c>
      <c r="P50" s="19">
        <v>207.95</v>
      </c>
      <c r="Q50" s="19">
        <f>Table1[[#This Row],['# Hours Assigned]]/Table1[[#This Row],[Revenue]]</f>
        <v>0.2019587440730945</v>
      </c>
      <c r="R50" s="16">
        <v>0</v>
      </c>
      <c r="S50" s="16">
        <v>3.3323192769999999</v>
      </c>
      <c r="T50" s="16">
        <v>69.316666670000004</v>
      </c>
      <c r="U50" s="16">
        <v>1</v>
      </c>
      <c r="V50" s="23">
        <v>0</v>
      </c>
      <c r="W50" s="16">
        <v>0</v>
      </c>
      <c r="X50" s="38"/>
    </row>
    <row r="51" spans="1:24" x14ac:dyDescent="0.25">
      <c r="A51" s="7">
        <v>45688</v>
      </c>
      <c r="B51" s="8" t="s">
        <v>21</v>
      </c>
      <c r="C51" s="8" t="s">
        <v>54</v>
      </c>
      <c r="D51" s="8" t="s">
        <v>54</v>
      </c>
      <c r="E51" s="8" t="s">
        <v>23</v>
      </c>
      <c r="F51" s="8">
        <v>0</v>
      </c>
      <c r="G51" s="9">
        <v>60500</v>
      </c>
      <c r="H51" s="8">
        <v>342</v>
      </c>
      <c r="I51" s="36">
        <v>0.21</v>
      </c>
      <c r="J51" s="10">
        <v>0</v>
      </c>
      <c r="K51" s="8">
        <v>756.40959829999997</v>
      </c>
      <c r="L51" s="11">
        <v>12480.76</v>
      </c>
      <c r="M51" s="37">
        <v>0</v>
      </c>
      <c r="N51" s="8"/>
      <c r="O51" s="10">
        <v>0</v>
      </c>
      <c r="P51" s="11">
        <v>0</v>
      </c>
      <c r="Q51" s="11" t="e">
        <f>Table1[[#This Row],['# Hours Assigned]]/Table1[[#This Row],[Revenue]]</f>
        <v>#DIV/0!</v>
      </c>
      <c r="R51" s="8">
        <v>0</v>
      </c>
      <c r="S51" s="8" t="s">
        <v>42</v>
      </c>
      <c r="T51" s="8">
        <v>0</v>
      </c>
      <c r="U51" s="8">
        <v>0</v>
      </c>
      <c r="V51" s="23">
        <v>0</v>
      </c>
      <c r="W51" s="8">
        <v>0</v>
      </c>
      <c r="X51" s="38"/>
    </row>
    <row r="52" spans="1:24" x14ac:dyDescent="0.25">
      <c r="A52" s="15">
        <v>45688</v>
      </c>
      <c r="B52" s="16" t="s">
        <v>21</v>
      </c>
      <c r="C52" s="41" t="s">
        <v>55</v>
      </c>
      <c r="D52" s="16" t="s">
        <v>56</v>
      </c>
      <c r="E52" s="23" t="s">
        <v>38</v>
      </c>
      <c r="F52" s="16">
        <v>0</v>
      </c>
      <c r="G52" s="16">
        <v>251</v>
      </c>
      <c r="H52" s="16">
        <v>130</v>
      </c>
      <c r="I52" s="39">
        <v>0.16</v>
      </c>
      <c r="J52" s="18">
        <v>0</v>
      </c>
      <c r="K52" s="16">
        <v>1089.6411009999999</v>
      </c>
      <c r="L52" s="19">
        <v>17979.080000000002</v>
      </c>
      <c r="M52" s="40"/>
      <c r="N52" s="40">
        <v>4</v>
      </c>
      <c r="O52" s="18">
        <v>0</v>
      </c>
      <c r="P52" s="19">
        <v>248</v>
      </c>
      <c r="Q52" s="19">
        <f>Table1[[#This Row],['# Hours Assigned]]/Table1[[#This Row],[Revenue]]</f>
        <v>4.3937141169354836</v>
      </c>
      <c r="R52" s="16">
        <v>0</v>
      </c>
      <c r="S52" s="19">
        <v>72.5</v>
      </c>
      <c r="T52" s="16">
        <v>0</v>
      </c>
      <c r="U52" s="16">
        <v>0</v>
      </c>
      <c r="V52" s="23">
        <v>0</v>
      </c>
      <c r="W52" s="16">
        <v>0</v>
      </c>
      <c r="X52" s="38"/>
    </row>
    <row r="53" spans="1:24" x14ac:dyDescent="0.25">
      <c r="A53" s="7">
        <v>45688</v>
      </c>
      <c r="B53" s="8" t="s">
        <v>21</v>
      </c>
      <c r="C53" s="8" t="s">
        <v>39</v>
      </c>
      <c r="D53" s="8" t="s">
        <v>57</v>
      </c>
      <c r="E53" s="8" t="s">
        <v>33</v>
      </c>
      <c r="F53" s="8">
        <v>16863</v>
      </c>
      <c r="G53" s="8">
        <v>34999</v>
      </c>
      <c r="H53" s="8">
        <v>1430</v>
      </c>
      <c r="I53" s="36">
        <v>0.98</v>
      </c>
      <c r="J53" s="10">
        <v>0.20280000000000001</v>
      </c>
      <c r="K53" s="8">
        <v>512.16359469999998</v>
      </c>
      <c r="L53" s="11">
        <v>8450.7000000000007</v>
      </c>
      <c r="M53" s="37"/>
      <c r="N53" s="37">
        <v>290</v>
      </c>
      <c r="O53" s="10">
        <v>0.20280000000000001</v>
      </c>
      <c r="P53" s="11">
        <v>18072.96</v>
      </c>
      <c r="Q53" s="11">
        <f>Table1[[#This Row],['# Hours Assigned]]/Table1[[#This Row],[Revenue]]</f>
        <v>2.8338666975415205E-2</v>
      </c>
      <c r="R53" s="8">
        <v>17</v>
      </c>
      <c r="S53" s="11">
        <v>0.47</v>
      </c>
      <c r="T53" s="11">
        <v>62.32</v>
      </c>
      <c r="U53" s="8">
        <v>4</v>
      </c>
      <c r="V53" s="23">
        <v>2</v>
      </c>
      <c r="W53" s="8">
        <v>0</v>
      </c>
      <c r="X53" s="38"/>
    </row>
    <row r="54" spans="1:24" x14ac:dyDescent="0.25">
      <c r="A54" s="15">
        <v>45688</v>
      </c>
      <c r="B54" s="16" t="s">
        <v>21</v>
      </c>
      <c r="C54" s="16" t="s">
        <v>58</v>
      </c>
      <c r="D54" s="16" t="s">
        <v>32</v>
      </c>
      <c r="E54" s="16" t="s">
        <v>33</v>
      </c>
      <c r="F54" s="16">
        <v>3599</v>
      </c>
      <c r="G54" s="17">
        <v>15653</v>
      </c>
      <c r="H54" s="16">
        <v>1678</v>
      </c>
      <c r="I54" s="39">
        <v>0.94</v>
      </c>
      <c r="J54" s="18">
        <v>0.30449999999999999</v>
      </c>
      <c r="K54" s="16">
        <v>498.69044389999999</v>
      </c>
      <c r="L54" s="19">
        <v>8228.39</v>
      </c>
      <c r="M54" s="40"/>
      <c r="N54" s="40">
        <v>511</v>
      </c>
      <c r="O54" s="18">
        <v>0.30449999999999999</v>
      </c>
      <c r="P54" s="19">
        <v>18167.62</v>
      </c>
      <c r="Q54" s="19">
        <f>Table1[[#This Row],['# Hours Assigned]]/Table1[[#This Row],[Revenue]]</f>
        <v>2.7449409658502327E-2</v>
      </c>
      <c r="R54" s="16">
        <v>9</v>
      </c>
      <c r="S54" s="19">
        <v>0.45</v>
      </c>
      <c r="T54" s="19">
        <v>35.549999999999997</v>
      </c>
      <c r="U54" s="16">
        <v>0</v>
      </c>
      <c r="V54" s="23">
        <v>0</v>
      </c>
      <c r="W54" s="16">
        <v>0</v>
      </c>
      <c r="X54" s="38"/>
    </row>
    <row r="55" spans="1:24" x14ac:dyDescent="0.25">
      <c r="A55" s="7">
        <v>45688</v>
      </c>
      <c r="B55" s="8" t="s">
        <v>21</v>
      </c>
      <c r="C55" s="8" t="s">
        <v>43</v>
      </c>
      <c r="D55" s="8" t="s">
        <v>32</v>
      </c>
      <c r="E55" s="8" t="s">
        <v>33</v>
      </c>
      <c r="F55" s="8">
        <v>243</v>
      </c>
      <c r="G55" s="8">
        <v>390</v>
      </c>
      <c r="H55" s="8">
        <v>41</v>
      </c>
      <c r="I55" s="36">
        <v>0.75</v>
      </c>
      <c r="J55" s="8">
        <v>0</v>
      </c>
      <c r="K55" s="8">
        <v>36.93923444</v>
      </c>
      <c r="L55" s="11">
        <v>609.5</v>
      </c>
      <c r="M55" s="37"/>
      <c r="N55" s="37">
        <v>0</v>
      </c>
      <c r="O55" s="8">
        <v>0</v>
      </c>
      <c r="P55" s="11">
        <v>0</v>
      </c>
      <c r="Q55" s="11" t="e">
        <f>Table1[[#This Row],['# Hours Assigned]]/Table1[[#This Row],[Revenue]]</f>
        <v>#DIV/0!</v>
      </c>
      <c r="R55" s="8">
        <v>1</v>
      </c>
      <c r="S55" s="8" t="s">
        <v>42</v>
      </c>
      <c r="T55" s="8">
        <v>0</v>
      </c>
      <c r="U55" s="8">
        <v>0</v>
      </c>
      <c r="V55" s="23">
        <v>0</v>
      </c>
      <c r="W55" s="8">
        <v>0</v>
      </c>
      <c r="X55" s="38"/>
    </row>
    <row r="56" spans="1:24" x14ac:dyDescent="0.25">
      <c r="A56" s="15">
        <v>45688</v>
      </c>
      <c r="B56" s="16" t="s">
        <v>21</v>
      </c>
      <c r="C56" s="16" t="s">
        <v>59</v>
      </c>
      <c r="D56" s="16" t="s">
        <v>32</v>
      </c>
      <c r="E56" s="16" t="s">
        <v>33</v>
      </c>
      <c r="F56" s="16">
        <v>4728</v>
      </c>
      <c r="G56" s="16">
        <v>14949</v>
      </c>
      <c r="H56" s="16">
        <v>395</v>
      </c>
      <c r="I56" s="39">
        <v>0.77</v>
      </c>
      <c r="J56" s="18">
        <v>0.3165</v>
      </c>
      <c r="K56" s="16">
        <v>5.0000000000000004E-6</v>
      </c>
      <c r="L56" s="19">
        <v>0</v>
      </c>
      <c r="M56" s="40"/>
      <c r="N56" s="40">
        <v>125</v>
      </c>
      <c r="O56" s="18">
        <v>0.3165</v>
      </c>
      <c r="P56" s="19">
        <v>3650.88</v>
      </c>
      <c r="Q56" s="19">
        <f>Table1[[#This Row],['# Hours Assigned]]/Table1[[#This Row],[Revenue]]</f>
        <v>1.3695328249627487E-9</v>
      </c>
      <c r="R56" s="16">
        <v>0</v>
      </c>
      <c r="S56" s="16"/>
      <c r="T56" s="16"/>
      <c r="U56" s="16">
        <v>0</v>
      </c>
      <c r="V56" s="23">
        <v>0</v>
      </c>
      <c r="W56" s="16">
        <v>0</v>
      </c>
      <c r="X56" s="38"/>
    </row>
    <row r="57" spans="1:24" x14ac:dyDescent="0.25">
      <c r="A57" s="7">
        <v>45688</v>
      </c>
      <c r="B57" s="8" t="s">
        <v>21</v>
      </c>
      <c r="C57" s="8" t="s">
        <v>31</v>
      </c>
      <c r="D57" s="8" t="s">
        <v>32</v>
      </c>
      <c r="E57" s="8" t="s">
        <v>33</v>
      </c>
      <c r="F57" s="8">
        <v>2579</v>
      </c>
      <c r="G57" s="9">
        <v>8908</v>
      </c>
      <c r="H57" s="8">
        <v>1439</v>
      </c>
      <c r="I57" s="36">
        <v>0.89</v>
      </c>
      <c r="J57" s="10">
        <v>0</v>
      </c>
      <c r="K57" s="8">
        <v>659.00181750000002</v>
      </c>
      <c r="L57" s="11">
        <v>10873.53</v>
      </c>
      <c r="M57" s="37"/>
      <c r="N57" s="37">
        <v>0</v>
      </c>
      <c r="O57" s="10">
        <v>0</v>
      </c>
      <c r="P57" s="11">
        <v>0</v>
      </c>
      <c r="Q57" s="11" t="e">
        <f>Table1[[#This Row],['# Hours Assigned]]/Table1[[#This Row],[Revenue]]</f>
        <v>#DIV/0!</v>
      </c>
      <c r="R57" s="8">
        <v>2</v>
      </c>
      <c r="S57" s="8" t="s">
        <v>42</v>
      </c>
      <c r="T57" s="8">
        <v>0</v>
      </c>
      <c r="U57" s="8">
        <v>0</v>
      </c>
      <c r="V57" s="23">
        <v>0</v>
      </c>
      <c r="W57" s="8">
        <v>0</v>
      </c>
      <c r="X57" s="38"/>
    </row>
    <row r="58" spans="1:24" x14ac:dyDescent="0.25">
      <c r="A58" s="15">
        <v>45688</v>
      </c>
      <c r="B58" s="16" t="s">
        <v>21</v>
      </c>
      <c r="C58" s="16" t="s">
        <v>34</v>
      </c>
      <c r="D58" s="23" t="s">
        <v>35</v>
      </c>
      <c r="E58" s="23" t="s">
        <v>33</v>
      </c>
      <c r="F58" s="16">
        <v>6193</v>
      </c>
      <c r="G58" s="17">
        <v>15348</v>
      </c>
      <c r="H58" s="16">
        <v>1658</v>
      </c>
      <c r="I58" s="39">
        <v>0.7</v>
      </c>
      <c r="J58" s="18">
        <v>1.09E-2</v>
      </c>
      <c r="K58" s="16">
        <v>323.79423220000001</v>
      </c>
      <c r="L58" s="19">
        <v>5342.6</v>
      </c>
      <c r="M58" s="40"/>
      <c r="N58" s="40">
        <v>18</v>
      </c>
      <c r="O58" s="18">
        <v>1.09E-2</v>
      </c>
      <c r="P58" s="19">
        <v>120.01</v>
      </c>
      <c r="Q58" s="19">
        <f>Table1[[#This Row],['# Hours Assigned]]/Table1[[#This Row],[Revenue]]</f>
        <v>2.6980604299641695</v>
      </c>
      <c r="R58" s="16">
        <v>2</v>
      </c>
      <c r="S58" s="19">
        <v>44.52</v>
      </c>
      <c r="T58" s="19">
        <v>6.67</v>
      </c>
      <c r="U58" s="16">
        <v>12</v>
      </c>
      <c r="V58" s="23">
        <v>10</v>
      </c>
      <c r="W58" s="16">
        <v>2</v>
      </c>
      <c r="X58" s="38"/>
    </row>
    <row r="59" spans="1:24" x14ac:dyDescent="0.25">
      <c r="A59" s="7">
        <v>45688</v>
      </c>
      <c r="B59" s="8" t="s">
        <v>21</v>
      </c>
      <c r="C59" s="8" t="s">
        <v>36</v>
      </c>
      <c r="D59" s="42" t="s">
        <v>37</v>
      </c>
      <c r="E59" s="23" t="s">
        <v>38</v>
      </c>
      <c r="F59" s="43">
        <v>6</v>
      </c>
      <c r="G59" s="9">
        <v>202015</v>
      </c>
      <c r="H59" s="8">
        <v>7591</v>
      </c>
      <c r="I59" s="36">
        <v>0.08</v>
      </c>
      <c r="J59" s="10">
        <v>0.23499999999999999</v>
      </c>
      <c r="K59" s="8">
        <v>2004.286081</v>
      </c>
      <c r="L59" s="11">
        <v>33070.720000000001</v>
      </c>
      <c r="M59" s="37"/>
      <c r="N59" s="37">
        <v>1784</v>
      </c>
      <c r="O59" s="10">
        <v>0.23499999999999999</v>
      </c>
      <c r="P59" s="37">
        <v>9377.48</v>
      </c>
      <c r="Q59" s="44">
        <f>Table1[[#This Row],['# Hours Assigned]]/Table1[[#This Row],[Revenue]]</f>
        <v>0.213733975545669</v>
      </c>
      <c r="R59" s="8">
        <v>120</v>
      </c>
      <c r="S59" s="11">
        <v>3.53</v>
      </c>
      <c r="T59" s="11">
        <v>5.26</v>
      </c>
      <c r="U59" s="8">
        <v>1129</v>
      </c>
      <c r="V59" s="23">
        <v>788</v>
      </c>
      <c r="W59" s="8">
        <v>159</v>
      </c>
      <c r="X59" s="38"/>
    </row>
    <row r="60" spans="1:24" x14ac:dyDescent="0.25">
      <c r="A60" s="15">
        <v>45688</v>
      </c>
      <c r="B60" s="16" t="s">
        <v>21</v>
      </c>
      <c r="C60" s="16" t="s">
        <v>40</v>
      </c>
      <c r="D60" s="16" t="s">
        <v>60</v>
      </c>
      <c r="E60" s="16" t="s">
        <v>38</v>
      </c>
      <c r="F60" s="17">
        <v>3674</v>
      </c>
      <c r="G60" s="16">
        <v>43</v>
      </c>
      <c r="H60" s="16">
        <v>82</v>
      </c>
      <c r="I60" s="39">
        <v>0.21</v>
      </c>
      <c r="J60" s="18">
        <v>0.1585</v>
      </c>
      <c r="K60" s="16">
        <v>0</v>
      </c>
      <c r="L60" s="16">
        <v>0</v>
      </c>
      <c r="M60" s="40"/>
      <c r="N60" s="40">
        <v>13</v>
      </c>
      <c r="O60" s="18">
        <v>0.1585</v>
      </c>
      <c r="P60" s="19">
        <v>360</v>
      </c>
      <c r="Q60" s="19">
        <f>Table1[[#This Row],['# Hours Assigned]]/Table1[[#This Row],[Revenue]]</f>
        <v>0</v>
      </c>
      <c r="R60" s="16">
        <v>7</v>
      </c>
      <c r="S60" s="16">
        <v>0</v>
      </c>
      <c r="T60" s="19">
        <v>27.69</v>
      </c>
      <c r="U60" s="16">
        <v>0</v>
      </c>
      <c r="V60" s="23">
        <v>0</v>
      </c>
      <c r="W60" s="16">
        <v>0</v>
      </c>
      <c r="X60" s="38"/>
    </row>
    <row r="61" spans="1:24" x14ac:dyDescent="0.25">
      <c r="A61" s="7">
        <v>45688</v>
      </c>
      <c r="B61" s="8" t="s">
        <v>21</v>
      </c>
      <c r="C61" s="8" t="s">
        <v>46</v>
      </c>
      <c r="D61" s="8" t="s">
        <v>61</v>
      </c>
      <c r="E61" s="8" t="s">
        <v>38</v>
      </c>
      <c r="F61" s="8">
        <v>0</v>
      </c>
      <c r="G61" s="9">
        <v>217754</v>
      </c>
      <c r="H61" s="9">
        <v>17674</v>
      </c>
      <c r="I61" s="36">
        <v>0.04</v>
      </c>
      <c r="J61" s="10">
        <v>0</v>
      </c>
      <c r="K61" s="8">
        <v>2523.1254130000002</v>
      </c>
      <c r="L61" s="11">
        <v>41631.57</v>
      </c>
      <c r="M61" s="37"/>
      <c r="N61" s="37">
        <v>0</v>
      </c>
      <c r="O61" s="10">
        <v>0</v>
      </c>
      <c r="P61" s="11">
        <v>0</v>
      </c>
      <c r="Q61" s="11" t="e">
        <f>Table1[[#This Row],['# Hours Assigned]]/Table1[[#This Row],[Revenue]]</f>
        <v>#DIV/0!</v>
      </c>
      <c r="R61" s="8">
        <v>268</v>
      </c>
      <c r="S61" s="8" t="s">
        <v>42</v>
      </c>
      <c r="T61" s="8">
        <v>0</v>
      </c>
      <c r="U61" s="8">
        <v>0</v>
      </c>
      <c r="V61" s="23">
        <v>0</v>
      </c>
      <c r="W61" s="8">
        <v>0</v>
      </c>
      <c r="X61" s="38"/>
    </row>
    <row r="62" spans="1:24" x14ac:dyDescent="0.25">
      <c r="A62" s="15">
        <v>45688</v>
      </c>
      <c r="B62" s="16" t="s">
        <v>21</v>
      </c>
      <c r="C62" s="16" t="s">
        <v>62</v>
      </c>
      <c r="D62" s="16" t="s">
        <v>32</v>
      </c>
      <c r="E62" s="16" t="s">
        <v>33</v>
      </c>
      <c r="F62" s="16">
        <v>2568</v>
      </c>
      <c r="G62" s="16">
        <v>21458</v>
      </c>
      <c r="H62" s="16">
        <v>2393</v>
      </c>
      <c r="I62" s="39">
        <v>0.78</v>
      </c>
      <c r="J62" s="18">
        <v>0.2014</v>
      </c>
      <c r="K62" s="16">
        <v>710.44574309999996</v>
      </c>
      <c r="L62" s="16">
        <v>11722.35476</v>
      </c>
      <c r="M62" s="40"/>
      <c r="N62" s="40">
        <v>482</v>
      </c>
      <c r="O62" s="18">
        <v>0.2014</v>
      </c>
      <c r="P62" s="19">
        <v>32093.98</v>
      </c>
      <c r="Q62" s="19">
        <f>Table1[[#This Row],['# Hours Assigned]]/Table1[[#This Row],[Revenue]]</f>
        <v>2.2136417580493287E-2</v>
      </c>
      <c r="R62" s="16">
        <v>0</v>
      </c>
      <c r="S62" s="16">
        <v>0.36525088999999999</v>
      </c>
      <c r="T62" s="19">
        <v>66.59</v>
      </c>
      <c r="U62" s="16">
        <v>0</v>
      </c>
      <c r="V62" s="23">
        <v>0</v>
      </c>
      <c r="W62" s="16">
        <v>0</v>
      </c>
      <c r="X62" s="38"/>
    </row>
    <row r="63" spans="1:24" x14ac:dyDescent="0.25">
      <c r="A63" s="7">
        <v>45688</v>
      </c>
      <c r="B63" s="8" t="s">
        <v>21</v>
      </c>
      <c r="C63" s="8" t="s">
        <v>63</v>
      </c>
      <c r="D63" s="8" t="s">
        <v>63</v>
      </c>
      <c r="E63" s="8" t="s">
        <v>38</v>
      </c>
      <c r="F63" s="8">
        <v>0</v>
      </c>
      <c r="G63" s="8">
        <v>20387</v>
      </c>
      <c r="H63" s="8">
        <v>979</v>
      </c>
      <c r="I63" s="36">
        <v>0.02</v>
      </c>
      <c r="J63" s="10">
        <v>1.7399999999999999E-2</v>
      </c>
      <c r="K63" s="8">
        <v>307.8289158</v>
      </c>
      <c r="L63" s="8">
        <v>5079.177111</v>
      </c>
      <c r="M63" s="37"/>
      <c r="N63" s="37">
        <v>17</v>
      </c>
      <c r="O63" s="10">
        <v>1.7399999999999999E-2</v>
      </c>
      <c r="P63" s="11">
        <v>59</v>
      </c>
      <c r="Q63" s="11">
        <f>Table1[[#This Row],['# Hours Assigned]]/Table1[[#This Row],[Revenue]]</f>
        <v>5.2174392508474581</v>
      </c>
      <c r="R63" s="8">
        <v>0</v>
      </c>
      <c r="S63" s="8">
        <v>86.087747640000003</v>
      </c>
      <c r="T63" s="11">
        <v>3.47</v>
      </c>
      <c r="U63" s="8">
        <v>17</v>
      </c>
      <c r="V63" s="23">
        <v>1</v>
      </c>
      <c r="W63" s="8">
        <v>0</v>
      </c>
      <c r="X63" s="38"/>
    </row>
    <row r="64" spans="1:24" x14ac:dyDescent="0.25">
      <c r="A64" s="15">
        <v>45716</v>
      </c>
      <c r="B64" s="16" t="s">
        <v>21</v>
      </c>
      <c r="C64" s="16" t="s">
        <v>49</v>
      </c>
      <c r="D64" s="16" t="s">
        <v>29</v>
      </c>
      <c r="E64" s="16" t="s">
        <v>23</v>
      </c>
      <c r="F64" s="16">
        <v>2481</v>
      </c>
      <c r="G64" s="17">
        <v>20394</v>
      </c>
      <c r="H64" s="16">
        <v>2236</v>
      </c>
      <c r="I64" s="39">
        <v>0.92</v>
      </c>
      <c r="J64" s="18">
        <v>7.6499999999999999E-2</v>
      </c>
      <c r="K64" s="16">
        <v>1264.5899999999999</v>
      </c>
      <c r="L64" s="19">
        <v>20865.66</v>
      </c>
      <c r="M64" s="40">
        <v>171</v>
      </c>
      <c r="N64" s="16"/>
      <c r="O64" s="18">
        <v>7.6499999999999999E-2</v>
      </c>
      <c r="P64" s="19">
        <v>9994.99</v>
      </c>
      <c r="Q64" s="19">
        <f>Table1[[#This Row],['# Hours Assigned]]/Table1[[#This Row],[Revenue]]</f>
        <v>0.12652238771624583</v>
      </c>
      <c r="R64" s="16">
        <v>15</v>
      </c>
      <c r="S64" s="19">
        <v>2.09</v>
      </c>
      <c r="T64" s="19">
        <v>58.45</v>
      </c>
      <c r="U64" s="16">
        <v>1</v>
      </c>
      <c r="V64" s="23">
        <v>1</v>
      </c>
      <c r="W64" s="16">
        <v>0</v>
      </c>
      <c r="X64" s="38"/>
    </row>
    <row r="65" spans="1:24" x14ac:dyDescent="0.25">
      <c r="A65" s="7">
        <v>45716</v>
      </c>
      <c r="B65" s="8" t="s">
        <v>21</v>
      </c>
      <c r="C65" s="8" t="s">
        <v>27</v>
      </c>
      <c r="D65" s="8" t="s">
        <v>27</v>
      </c>
      <c r="E65" s="8" t="s">
        <v>23</v>
      </c>
      <c r="F65" s="8">
        <v>3614</v>
      </c>
      <c r="G65" s="9">
        <v>25665</v>
      </c>
      <c r="H65" s="8">
        <v>2675</v>
      </c>
      <c r="I65" s="36">
        <v>0.93</v>
      </c>
      <c r="J65" s="10">
        <v>7.51E-2</v>
      </c>
      <c r="K65" s="8">
        <v>1511.97</v>
      </c>
      <c r="L65" s="11">
        <v>24947.54</v>
      </c>
      <c r="M65" s="37">
        <v>201</v>
      </c>
      <c r="N65" s="8"/>
      <c r="O65" s="10">
        <v>7.51E-2</v>
      </c>
      <c r="P65" s="11">
        <v>11586.98</v>
      </c>
      <c r="Q65" s="11">
        <f>Table1[[#This Row],['# Hours Assigned]]/Table1[[#This Row],[Revenue]]</f>
        <v>0.13048870370018764</v>
      </c>
      <c r="R65" s="8">
        <v>33</v>
      </c>
      <c r="S65" s="11">
        <v>2.15</v>
      </c>
      <c r="T65" s="11">
        <v>57.65</v>
      </c>
      <c r="U65" s="8">
        <v>4</v>
      </c>
      <c r="V65" s="23">
        <v>2</v>
      </c>
      <c r="W65" s="8">
        <v>1</v>
      </c>
      <c r="X65" s="38"/>
    </row>
    <row r="66" spans="1:24" x14ac:dyDescent="0.25">
      <c r="A66" s="15">
        <v>45716</v>
      </c>
      <c r="B66" s="16" t="s">
        <v>21</v>
      </c>
      <c r="C66" s="16" t="s">
        <v>30</v>
      </c>
      <c r="D66" s="16" t="s">
        <v>30</v>
      </c>
      <c r="E66" s="16" t="s">
        <v>23</v>
      </c>
      <c r="F66" s="16">
        <v>3935</v>
      </c>
      <c r="G66" s="17">
        <v>28806</v>
      </c>
      <c r="H66" s="16">
        <v>1903</v>
      </c>
      <c r="I66" s="39">
        <v>0.88</v>
      </c>
      <c r="J66" s="18">
        <v>4.2599999999999999E-2</v>
      </c>
      <c r="K66" s="16">
        <v>967.26</v>
      </c>
      <c r="L66" s="19">
        <v>15959.82</v>
      </c>
      <c r="M66" s="40">
        <v>81</v>
      </c>
      <c r="N66" s="20"/>
      <c r="O66" s="18">
        <v>4.2599999999999999E-2</v>
      </c>
      <c r="P66" s="19">
        <v>4301</v>
      </c>
      <c r="Q66" s="19">
        <f>Table1[[#This Row],['# Hours Assigned]]/Table1[[#This Row],[Revenue]]</f>
        <v>0.22489188560799814</v>
      </c>
      <c r="R66" s="16">
        <v>10</v>
      </c>
      <c r="S66" s="19">
        <v>3.71</v>
      </c>
      <c r="T66" s="19">
        <v>53.1</v>
      </c>
      <c r="U66" s="16">
        <v>1</v>
      </c>
      <c r="V66" s="23">
        <v>1</v>
      </c>
      <c r="W66" s="16">
        <v>0</v>
      </c>
      <c r="X66" s="38"/>
    </row>
    <row r="67" spans="1:24" x14ac:dyDescent="0.25">
      <c r="A67" s="7">
        <v>45716</v>
      </c>
      <c r="B67" s="8" t="s">
        <v>21</v>
      </c>
      <c r="C67" s="8" t="s">
        <v>50</v>
      </c>
      <c r="D67" s="8" t="s">
        <v>26</v>
      </c>
      <c r="E67" s="8" t="s">
        <v>23</v>
      </c>
      <c r="F67" s="8">
        <v>5685</v>
      </c>
      <c r="G67" s="9">
        <v>12739</v>
      </c>
      <c r="H67" s="8">
        <v>1036</v>
      </c>
      <c r="I67" s="36">
        <v>0.98</v>
      </c>
      <c r="J67" s="10">
        <v>8.8800000000000004E-2</v>
      </c>
      <c r="K67" s="8">
        <v>1165.4000000000001</v>
      </c>
      <c r="L67" s="11">
        <v>19229.09</v>
      </c>
      <c r="M67" s="37">
        <v>92</v>
      </c>
      <c r="N67" s="8"/>
      <c r="O67" s="10">
        <v>8.8800000000000004E-2</v>
      </c>
      <c r="P67" s="11">
        <v>6721</v>
      </c>
      <c r="Q67" s="11">
        <f>Table1[[#This Row],['# Hours Assigned]]/Table1[[#This Row],[Revenue]]</f>
        <v>0.17339681595000744</v>
      </c>
      <c r="R67" s="8">
        <v>6</v>
      </c>
      <c r="S67" s="11">
        <v>2.86</v>
      </c>
      <c r="T67" s="11">
        <v>73.05</v>
      </c>
      <c r="U67" s="8">
        <v>5</v>
      </c>
      <c r="V67" s="23">
        <v>2</v>
      </c>
      <c r="W67" s="8">
        <v>1</v>
      </c>
      <c r="X67" s="38"/>
    </row>
    <row r="68" spans="1:24" x14ac:dyDescent="0.25">
      <c r="A68" s="15">
        <v>45716</v>
      </c>
      <c r="B68" s="16" t="s">
        <v>21</v>
      </c>
      <c r="C68" s="16" t="s">
        <v>28</v>
      </c>
      <c r="D68" s="16" t="s">
        <v>51</v>
      </c>
      <c r="E68" s="16" t="s">
        <v>23</v>
      </c>
      <c r="F68" s="16">
        <v>7427</v>
      </c>
      <c r="G68" s="17">
        <v>51504</v>
      </c>
      <c r="H68" s="16">
        <v>1856</v>
      </c>
      <c r="I68" s="39">
        <v>0.64</v>
      </c>
      <c r="J68" s="18">
        <v>3.39E-2</v>
      </c>
      <c r="K68" s="16">
        <v>918.29</v>
      </c>
      <c r="L68" s="19">
        <v>15151.85</v>
      </c>
      <c r="M68" s="40">
        <v>63</v>
      </c>
      <c r="N68" s="16"/>
      <c r="O68" s="18">
        <v>3.39E-2</v>
      </c>
      <c r="P68" s="19">
        <v>3593.95</v>
      </c>
      <c r="Q68" s="19">
        <f>Table1[[#This Row],['# Hours Assigned]]/Table1[[#This Row],[Revenue]]</f>
        <v>0.25550995422863426</v>
      </c>
      <c r="R68" s="16">
        <v>2</v>
      </c>
      <c r="S68" s="19">
        <v>4.22</v>
      </c>
      <c r="T68" s="19">
        <v>57.05</v>
      </c>
      <c r="U68" s="16">
        <v>2</v>
      </c>
      <c r="V68" s="23">
        <v>1</v>
      </c>
      <c r="W68" s="16">
        <v>0</v>
      </c>
      <c r="X68" s="38"/>
    </row>
    <row r="69" spans="1:24" x14ac:dyDescent="0.25">
      <c r="A69" s="7">
        <v>45716</v>
      </c>
      <c r="B69" s="8" t="s">
        <v>21</v>
      </c>
      <c r="C69" s="8" t="s">
        <v>52</v>
      </c>
      <c r="D69" s="8" t="s">
        <v>53</v>
      </c>
      <c r="E69" s="8" t="s">
        <v>23</v>
      </c>
      <c r="F69" s="8">
        <v>0</v>
      </c>
      <c r="G69" s="8">
        <v>24</v>
      </c>
      <c r="H69" s="8">
        <v>47</v>
      </c>
      <c r="I69" s="36">
        <v>0</v>
      </c>
      <c r="J69" s="10">
        <v>2.1299999999999999E-2</v>
      </c>
      <c r="K69" s="8">
        <v>0</v>
      </c>
      <c r="L69" s="11">
        <v>0</v>
      </c>
      <c r="M69" s="37">
        <v>1</v>
      </c>
      <c r="N69" s="8"/>
      <c r="O69" s="10">
        <v>2.1299999999999999E-2</v>
      </c>
      <c r="P69" s="11">
        <v>60</v>
      </c>
      <c r="Q69" s="11">
        <f>Table1[[#This Row],['# Hours Assigned]]/Table1[[#This Row],[Revenue]]</f>
        <v>0</v>
      </c>
      <c r="R69" s="8">
        <v>0</v>
      </c>
      <c r="S69" s="8">
        <v>0</v>
      </c>
      <c r="T69" s="8">
        <v>60</v>
      </c>
      <c r="U69" s="8">
        <v>0</v>
      </c>
      <c r="V69" s="23">
        <v>0</v>
      </c>
      <c r="W69" s="8">
        <v>0</v>
      </c>
      <c r="X69" s="38"/>
    </row>
    <row r="70" spans="1:24" x14ac:dyDescent="0.25">
      <c r="A70" s="15">
        <v>45716</v>
      </c>
      <c r="B70" s="16" t="s">
        <v>21</v>
      </c>
      <c r="C70" s="16" t="s">
        <v>54</v>
      </c>
      <c r="D70" s="16" t="s">
        <v>54</v>
      </c>
      <c r="E70" s="16" t="s">
        <v>23</v>
      </c>
      <c r="F70" s="16">
        <v>0</v>
      </c>
      <c r="G70" s="16">
        <v>0</v>
      </c>
      <c r="H70" s="16">
        <v>4</v>
      </c>
      <c r="I70" s="39">
        <v>0.21</v>
      </c>
      <c r="J70" s="18">
        <v>0</v>
      </c>
      <c r="K70" s="16">
        <v>0</v>
      </c>
      <c r="L70" s="19">
        <v>0</v>
      </c>
      <c r="M70" s="40">
        <v>0</v>
      </c>
      <c r="N70" s="16"/>
      <c r="O70" s="18">
        <v>0</v>
      </c>
      <c r="P70" s="19">
        <v>0</v>
      </c>
      <c r="Q70" s="19" t="e">
        <f>Table1[[#This Row],['# Hours Assigned]]/Table1[[#This Row],[Revenue]]</f>
        <v>#DIV/0!</v>
      </c>
      <c r="R70" s="16">
        <v>0</v>
      </c>
      <c r="S70" s="16" t="s">
        <v>42</v>
      </c>
      <c r="T70" s="16">
        <v>0</v>
      </c>
      <c r="U70" s="16">
        <v>0</v>
      </c>
      <c r="V70" s="23">
        <v>0</v>
      </c>
      <c r="W70" s="16">
        <v>0</v>
      </c>
      <c r="X70" s="38"/>
    </row>
    <row r="71" spans="1:24" x14ac:dyDescent="0.25">
      <c r="A71" s="7">
        <v>45716</v>
      </c>
      <c r="B71" s="8" t="s">
        <v>21</v>
      </c>
      <c r="C71" s="41" t="s">
        <v>55</v>
      </c>
      <c r="D71" s="8" t="s">
        <v>56</v>
      </c>
      <c r="E71" s="23" t="s">
        <v>38</v>
      </c>
      <c r="F71" s="8">
        <v>49997</v>
      </c>
      <c r="G71" s="8">
        <v>15297</v>
      </c>
      <c r="H71" s="8">
        <v>1144</v>
      </c>
      <c r="I71" s="36">
        <v>0.09</v>
      </c>
      <c r="J71" s="10">
        <v>0</v>
      </c>
      <c r="K71" s="8">
        <v>1283.75</v>
      </c>
      <c r="L71" s="11">
        <v>21181.91</v>
      </c>
      <c r="M71" s="37"/>
      <c r="N71" s="37">
        <v>4</v>
      </c>
      <c r="O71" s="10">
        <v>0</v>
      </c>
      <c r="P71" s="11">
        <v>290</v>
      </c>
      <c r="Q71" s="11">
        <f>Table1[[#This Row],['# Hours Assigned]]/Table1[[#This Row],[Revenue]]</f>
        <v>4.4267241379310347</v>
      </c>
      <c r="R71" s="8">
        <v>0</v>
      </c>
      <c r="S71" s="11">
        <v>73.040000000000006</v>
      </c>
      <c r="T71" s="8">
        <v>0</v>
      </c>
      <c r="U71" s="8">
        <v>0</v>
      </c>
      <c r="V71" s="23">
        <v>0</v>
      </c>
      <c r="W71" s="8">
        <v>0</v>
      </c>
      <c r="X71" s="38"/>
    </row>
    <row r="72" spans="1:24" x14ac:dyDescent="0.25">
      <c r="A72" s="15">
        <v>45716</v>
      </c>
      <c r="B72" s="16" t="s">
        <v>21</v>
      </c>
      <c r="C72" s="16" t="s">
        <v>39</v>
      </c>
      <c r="D72" s="16" t="s">
        <v>57</v>
      </c>
      <c r="E72" s="16" t="s">
        <v>33</v>
      </c>
      <c r="F72" s="16">
        <v>4580</v>
      </c>
      <c r="G72" s="16">
        <v>12165</v>
      </c>
      <c r="H72" s="16">
        <v>1850</v>
      </c>
      <c r="I72" s="39">
        <v>0.98</v>
      </c>
      <c r="J72" s="18">
        <v>0.20050000000000001</v>
      </c>
      <c r="K72" s="16">
        <v>886.21</v>
      </c>
      <c r="L72" s="19">
        <v>14622.47</v>
      </c>
      <c r="M72" s="40"/>
      <c r="N72" s="40">
        <v>371</v>
      </c>
      <c r="O72" s="18">
        <v>0.20050000000000001</v>
      </c>
      <c r="P72" s="19">
        <v>23067.84</v>
      </c>
      <c r="Q72" s="19">
        <f>Table1[[#This Row],['# Hours Assigned]]/Table1[[#This Row],[Revenue]]</f>
        <v>3.8417554482777755E-2</v>
      </c>
      <c r="R72" s="16">
        <v>21</v>
      </c>
      <c r="S72" s="19">
        <v>0.63</v>
      </c>
      <c r="T72" s="19">
        <v>62.18</v>
      </c>
      <c r="U72" s="16">
        <v>14</v>
      </c>
      <c r="V72" s="23">
        <v>4</v>
      </c>
      <c r="W72" s="16">
        <v>1</v>
      </c>
      <c r="X72" s="38"/>
    </row>
    <row r="73" spans="1:24" x14ac:dyDescent="0.25">
      <c r="A73" s="7">
        <v>45716</v>
      </c>
      <c r="B73" s="8" t="s">
        <v>21</v>
      </c>
      <c r="C73" s="8" t="s">
        <v>58</v>
      </c>
      <c r="D73" s="8" t="s">
        <v>32</v>
      </c>
      <c r="E73" s="8" t="s">
        <v>33</v>
      </c>
      <c r="F73" s="8">
        <v>3360</v>
      </c>
      <c r="G73" s="9">
        <v>16030</v>
      </c>
      <c r="H73" s="8">
        <v>1584</v>
      </c>
      <c r="I73" s="36">
        <v>0.98</v>
      </c>
      <c r="J73" s="10">
        <v>0.37119999999999997</v>
      </c>
      <c r="K73" s="8">
        <v>560.33000000000004</v>
      </c>
      <c r="L73" s="11">
        <v>9245.4</v>
      </c>
      <c r="M73" s="37"/>
      <c r="N73" s="37">
        <v>588</v>
      </c>
      <c r="O73" s="10">
        <v>0.37119999999999997</v>
      </c>
      <c r="P73" s="11">
        <v>30975.94</v>
      </c>
      <c r="Q73" s="11">
        <f>Table1[[#This Row],['# Hours Assigned]]/Table1[[#This Row],[Revenue]]</f>
        <v>1.8089200844268166E-2</v>
      </c>
      <c r="R73" s="8">
        <v>10</v>
      </c>
      <c r="S73" s="11">
        <v>0.3</v>
      </c>
      <c r="T73" s="11">
        <v>52.68</v>
      </c>
      <c r="U73" s="8">
        <v>0</v>
      </c>
      <c r="V73" s="23">
        <v>0</v>
      </c>
      <c r="W73" s="8">
        <v>0</v>
      </c>
      <c r="X73" s="38"/>
    </row>
    <row r="74" spans="1:24" x14ac:dyDescent="0.25">
      <c r="A74" s="15">
        <v>45716</v>
      </c>
      <c r="B74" s="16" t="s">
        <v>21</v>
      </c>
      <c r="C74" s="16" t="s">
        <v>43</v>
      </c>
      <c r="D74" s="16" t="s">
        <v>32</v>
      </c>
      <c r="E74" s="16" t="s">
        <v>33</v>
      </c>
      <c r="F74" s="16">
        <v>279</v>
      </c>
      <c r="G74" s="16">
        <v>496</v>
      </c>
      <c r="H74" s="16">
        <v>57</v>
      </c>
      <c r="I74" s="39">
        <v>0.69</v>
      </c>
      <c r="J74" s="16">
        <v>0</v>
      </c>
      <c r="K74" s="16">
        <v>28.76</v>
      </c>
      <c r="L74" s="19">
        <v>474.49</v>
      </c>
      <c r="M74" s="40"/>
      <c r="N74" s="40">
        <v>0</v>
      </c>
      <c r="O74" s="16">
        <v>0</v>
      </c>
      <c r="P74" s="19">
        <v>0</v>
      </c>
      <c r="Q74" s="19" t="e">
        <f>Table1[[#This Row],['# Hours Assigned]]/Table1[[#This Row],[Revenue]]</f>
        <v>#DIV/0!</v>
      </c>
      <c r="R74" s="16">
        <v>0</v>
      </c>
      <c r="S74" s="16" t="s">
        <v>42</v>
      </c>
      <c r="T74" s="16">
        <v>0</v>
      </c>
      <c r="U74" s="16">
        <v>0</v>
      </c>
      <c r="V74" s="23">
        <v>0</v>
      </c>
      <c r="W74" s="16">
        <v>0</v>
      </c>
      <c r="X74" s="38"/>
    </row>
    <row r="75" spans="1:24" x14ac:dyDescent="0.25">
      <c r="A75" s="7">
        <v>45716</v>
      </c>
      <c r="B75" s="8" t="s">
        <v>21</v>
      </c>
      <c r="C75" s="8" t="s">
        <v>59</v>
      </c>
      <c r="D75" s="8" t="s">
        <v>32</v>
      </c>
      <c r="E75" s="8" t="s">
        <v>33</v>
      </c>
      <c r="F75" s="8">
        <v>289</v>
      </c>
      <c r="G75" s="8">
        <v>0</v>
      </c>
      <c r="H75" s="8">
        <v>527</v>
      </c>
      <c r="I75" s="36">
        <v>0.16</v>
      </c>
      <c r="J75" s="10">
        <v>0.32450000000000001</v>
      </c>
      <c r="K75" s="8">
        <v>0</v>
      </c>
      <c r="L75" s="11">
        <v>0</v>
      </c>
      <c r="M75" s="37"/>
      <c r="N75" s="37">
        <v>171</v>
      </c>
      <c r="O75" s="10">
        <v>0.32450000000000001</v>
      </c>
      <c r="P75" s="11">
        <v>4393.8900000000003</v>
      </c>
      <c r="Q75" s="11">
        <f>Table1[[#This Row],['# Hours Assigned]]/Table1[[#This Row],[Revenue]]</f>
        <v>0</v>
      </c>
      <c r="R75" s="8">
        <v>0</v>
      </c>
      <c r="S75" s="8"/>
      <c r="T75" s="8"/>
      <c r="U75" s="8">
        <v>0</v>
      </c>
      <c r="V75" s="23">
        <v>0</v>
      </c>
      <c r="W75" s="8">
        <v>0</v>
      </c>
      <c r="X75" s="38"/>
    </row>
    <row r="76" spans="1:24" x14ac:dyDescent="0.25">
      <c r="A76" s="15">
        <v>45716</v>
      </c>
      <c r="B76" s="16" t="s">
        <v>21</v>
      </c>
      <c r="C76" s="16" t="s">
        <v>31</v>
      </c>
      <c r="D76" s="16" t="s">
        <v>32</v>
      </c>
      <c r="E76" s="16" t="s">
        <v>33</v>
      </c>
      <c r="F76" s="16">
        <v>9324</v>
      </c>
      <c r="G76" s="17">
        <v>32140</v>
      </c>
      <c r="H76" s="16">
        <v>1323</v>
      </c>
      <c r="I76" s="39">
        <v>0.91</v>
      </c>
      <c r="J76" s="18">
        <v>0</v>
      </c>
      <c r="K76" s="16">
        <v>444.95</v>
      </c>
      <c r="L76" s="19">
        <v>7341.67</v>
      </c>
      <c r="M76" s="40"/>
      <c r="N76" s="40">
        <v>0</v>
      </c>
      <c r="O76" s="18">
        <v>0</v>
      </c>
      <c r="P76" s="19">
        <v>0</v>
      </c>
      <c r="Q76" s="19" t="e">
        <f>Table1[[#This Row],['# Hours Assigned]]/Table1[[#This Row],[Revenue]]</f>
        <v>#DIV/0!</v>
      </c>
      <c r="R76" s="16">
        <v>0</v>
      </c>
      <c r="S76" s="16" t="s">
        <v>42</v>
      </c>
      <c r="T76" s="16">
        <v>0</v>
      </c>
      <c r="U76" s="16">
        <v>0</v>
      </c>
      <c r="V76" s="23">
        <v>0</v>
      </c>
      <c r="W76" s="16">
        <v>0</v>
      </c>
      <c r="X76" s="38"/>
    </row>
    <row r="77" spans="1:24" x14ac:dyDescent="0.25">
      <c r="A77" s="7">
        <v>45716</v>
      </c>
      <c r="B77" s="8" t="s">
        <v>21</v>
      </c>
      <c r="C77" s="8" t="s">
        <v>34</v>
      </c>
      <c r="D77" s="23" t="s">
        <v>35</v>
      </c>
      <c r="E77" s="23" t="s">
        <v>33</v>
      </c>
      <c r="F77" s="8">
        <v>5761</v>
      </c>
      <c r="G77" s="9">
        <v>27837</v>
      </c>
      <c r="H77" s="8">
        <v>3021</v>
      </c>
      <c r="I77" s="36">
        <v>0.95</v>
      </c>
      <c r="J77" s="10">
        <v>7.6E-3</v>
      </c>
      <c r="K77" s="8">
        <v>710.67</v>
      </c>
      <c r="L77" s="11">
        <v>11726.09</v>
      </c>
      <c r="M77" s="37"/>
      <c r="N77" s="37">
        <v>23</v>
      </c>
      <c r="O77" s="10">
        <v>7.6E-3</v>
      </c>
      <c r="P77" s="11">
        <v>162.07</v>
      </c>
      <c r="Q77" s="11">
        <f>Table1[[#This Row],['# Hours Assigned]]/Table1[[#This Row],[Revenue]]</f>
        <v>4.3849571172949959</v>
      </c>
      <c r="R77" s="8">
        <v>0</v>
      </c>
      <c r="S77" s="11">
        <v>72.349999999999994</v>
      </c>
      <c r="T77" s="11">
        <v>7.05</v>
      </c>
      <c r="U77" s="8">
        <v>8</v>
      </c>
      <c r="V77" s="23">
        <v>4</v>
      </c>
      <c r="W77" s="8">
        <v>3</v>
      </c>
      <c r="X77" s="38"/>
    </row>
    <row r="78" spans="1:24" x14ac:dyDescent="0.25">
      <c r="A78" s="15">
        <v>45716</v>
      </c>
      <c r="B78" s="16" t="s">
        <v>21</v>
      </c>
      <c r="C78" s="16" t="s">
        <v>36</v>
      </c>
      <c r="D78" s="45" t="s">
        <v>37</v>
      </c>
      <c r="E78" s="23" t="s">
        <v>38</v>
      </c>
      <c r="F78" s="33">
        <v>0</v>
      </c>
      <c r="G78" s="17">
        <v>338231</v>
      </c>
      <c r="H78" s="16">
        <v>8530</v>
      </c>
      <c r="I78" s="39">
        <v>0.23</v>
      </c>
      <c r="J78" s="18">
        <v>0.15279999999999999</v>
      </c>
      <c r="K78" s="16">
        <v>2198.0100000000002</v>
      </c>
      <c r="L78" s="19">
        <v>36267.230000000003</v>
      </c>
      <c r="M78" s="40"/>
      <c r="N78" s="40">
        <v>1303</v>
      </c>
      <c r="O78" s="18">
        <v>0.15279999999999999</v>
      </c>
      <c r="P78" s="40">
        <v>6420.25</v>
      </c>
      <c r="Q78" s="46">
        <f>Table1[[#This Row],['# Hours Assigned]]/Table1[[#This Row],[Revenue]]</f>
        <v>0.34235582726529346</v>
      </c>
      <c r="R78" s="16">
        <v>65</v>
      </c>
      <c r="S78" s="19">
        <v>5.65</v>
      </c>
      <c r="T78" s="19">
        <v>4.93</v>
      </c>
      <c r="U78" s="16">
        <v>664</v>
      </c>
      <c r="V78" s="23">
        <v>390</v>
      </c>
      <c r="W78" s="16">
        <v>121</v>
      </c>
      <c r="X78" s="38"/>
    </row>
    <row r="79" spans="1:24" x14ac:dyDescent="0.25">
      <c r="A79" s="7">
        <v>45716</v>
      </c>
      <c r="B79" s="8" t="s">
        <v>21</v>
      </c>
      <c r="C79" s="8" t="s">
        <v>40</v>
      </c>
      <c r="D79" s="8" t="s">
        <v>60</v>
      </c>
      <c r="E79" s="8" t="s">
        <v>38</v>
      </c>
      <c r="F79" s="8">
        <v>0</v>
      </c>
      <c r="G79" s="8">
        <v>8</v>
      </c>
      <c r="H79" s="8">
        <v>68</v>
      </c>
      <c r="I79" s="36">
        <v>0.21</v>
      </c>
      <c r="J79" s="10">
        <v>0.17649999999999999</v>
      </c>
      <c r="K79" s="8">
        <v>0</v>
      </c>
      <c r="L79" s="11">
        <v>0</v>
      </c>
      <c r="M79" s="37"/>
      <c r="N79" s="37">
        <v>12</v>
      </c>
      <c r="O79" s="10">
        <v>0.17649999999999999</v>
      </c>
      <c r="P79" s="11">
        <v>540.99</v>
      </c>
      <c r="Q79" s="11">
        <f>Table1[[#This Row],['# Hours Assigned]]/Table1[[#This Row],[Revenue]]</f>
        <v>0</v>
      </c>
      <c r="R79" s="8">
        <v>0</v>
      </c>
      <c r="S79" s="8">
        <v>0</v>
      </c>
      <c r="T79" s="11">
        <v>45.08</v>
      </c>
      <c r="U79" s="8">
        <v>0</v>
      </c>
      <c r="V79" s="23">
        <v>0</v>
      </c>
      <c r="W79" s="8">
        <v>0</v>
      </c>
      <c r="X79" s="38"/>
    </row>
    <row r="80" spans="1:24" x14ac:dyDescent="0.25">
      <c r="A80" s="15">
        <v>45716</v>
      </c>
      <c r="B80" s="16" t="s">
        <v>21</v>
      </c>
      <c r="C80" s="16" t="s">
        <v>46</v>
      </c>
      <c r="D80" s="16" t="s">
        <v>61</v>
      </c>
      <c r="E80" s="16" t="s">
        <v>38</v>
      </c>
      <c r="F80" s="16">
        <v>0</v>
      </c>
      <c r="G80" s="17">
        <v>323002</v>
      </c>
      <c r="H80" s="17">
        <v>25387</v>
      </c>
      <c r="I80" s="39">
        <v>0.06</v>
      </c>
      <c r="J80" s="18">
        <v>0</v>
      </c>
      <c r="K80" s="16">
        <v>2838.21</v>
      </c>
      <c r="L80" s="19">
        <v>46830.52</v>
      </c>
      <c r="M80" s="40"/>
      <c r="N80" s="40">
        <v>0</v>
      </c>
      <c r="O80" s="18">
        <v>0</v>
      </c>
      <c r="P80" s="19">
        <v>0</v>
      </c>
      <c r="Q80" s="19" t="e">
        <f>Table1[[#This Row],['# Hours Assigned]]/Table1[[#This Row],[Revenue]]</f>
        <v>#DIV/0!</v>
      </c>
      <c r="R80" s="16">
        <v>345</v>
      </c>
      <c r="S80" s="16" t="s">
        <v>42</v>
      </c>
      <c r="T80" s="16">
        <v>0</v>
      </c>
      <c r="U80" s="16">
        <v>0</v>
      </c>
      <c r="V80" s="23">
        <v>0</v>
      </c>
      <c r="W80" s="16">
        <v>0</v>
      </c>
      <c r="X80" s="38"/>
    </row>
    <row r="81" spans="1:24" x14ac:dyDescent="0.25">
      <c r="A81" s="7">
        <v>45716</v>
      </c>
      <c r="B81" s="8" t="s">
        <v>21</v>
      </c>
      <c r="C81" s="8" t="s">
        <v>62</v>
      </c>
      <c r="D81" s="8" t="s">
        <v>32</v>
      </c>
      <c r="E81" s="8" t="s">
        <v>33</v>
      </c>
      <c r="F81" s="8">
        <v>2626</v>
      </c>
      <c r="G81" s="8">
        <v>19235</v>
      </c>
      <c r="H81" s="8">
        <v>2346</v>
      </c>
      <c r="I81" s="36">
        <v>0.88</v>
      </c>
      <c r="J81" s="10">
        <v>0.18240000000000001</v>
      </c>
      <c r="K81" s="8">
        <v>590.76</v>
      </c>
      <c r="L81" s="11">
        <v>9747.6</v>
      </c>
      <c r="M81" s="37"/>
      <c r="N81" s="37">
        <v>428</v>
      </c>
      <c r="O81" s="10">
        <v>0.18240000000000001</v>
      </c>
      <c r="P81" s="11">
        <v>25385.83</v>
      </c>
      <c r="Q81" s="11">
        <f>Table1[[#This Row],['# Hours Assigned]]/Table1[[#This Row],[Revenue]]</f>
        <v>2.3271250142303794E-2</v>
      </c>
      <c r="R81" s="8">
        <v>0</v>
      </c>
      <c r="S81" s="8">
        <v>0.38397810300000002</v>
      </c>
      <c r="T81" s="11">
        <v>59.31</v>
      </c>
      <c r="U81" s="8">
        <v>0</v>
      </c>
      <c r="V81" s="23">
        <v>0</v>
      </c>
      <c r="W81" s="8">
        <v>0</v>
      </c>
      <c r="X81" s="38"/>
    </row>
    <row r="82" spans="1:24" x14ac:dyDescent="0.25">
      <c r="A82" s="15">
        <v>45716</v>
      </c>
      <c r="B82" s="16" t="s">
        <v>21</v>
      </c>
      <c r="C82" s="16" t="s">
        <v>63</v>
      </c>
      <c r="D82" s="16" t="s">
        <v>63</v>
      </c>
      <c r="E82" s="16" t="s">
        <v>38</v>
      </c>
      <c r="F82" s="16">
        <v>0</v>
      </c>
      <c r="G82" s="16">
        <v>4</v>
      </c>
      <c r="H82" s="16">
        <v>18</v>
      </c>
      <c r="I82" s="39">
        <v>0.73</v>
      </c>
      <c r="J82" s="18">
        <v>0</v>
      </c>
      <c r="K82" s="16">
        <v>0</v>
      </c>
      <c r="L82" s="19">
        <v>0</v>
      </c>
      <c r="M82" s="40"/>
      <c r="N82" s="40">
        <v>0</v>
      </c>
      <c r="O82" s="18">
        <v>0</v>
      </c>
      <c r="P82" s="19">
        <v>0</v>
      </c>
      <c r="Q82" s="19" t="e">
        <f>Table1[[#This Row],['# Hours Assigned]]/Table1[[#This Row],[Revenue]]</f>
        <v>#DIV/0!</v>
      </c>
      <c r="R82" s="16">
        <v>0</v>
      </c>
      <c r="S82" s="16" t="s">
        <v>42</v>
      </c>
      <c r="T82" s="19">
        <v>0</v>
      </c>
      <c r="U82" s="16">
        <v>0</v>
      </c>
      <c r="V82" s="23">
        <v>0</v>
      </c>
      <c r="W82" s="16">
        <v>0</v>
      </c>
      <c r="X82" s="38"/>
    </row>
    <row r="83" spans="1:24" x14ac:dyDescent="0.25">
      <c r="A83" s="7">
        <v>45747</v>
      </c>
      <c r="B83" s="8" t="s">
        <v>21</v>
      </c>
      <c r="C83" s="8" t="s">
        <v>49</v>
      </c>
      <c r="D83" s="8" t="s">
        <v>29</v>
      </c>
      <c r="E83" s="8" t="s">
        <v>23</v>
      </c>
      <c r="F83" s="47">
        <v>2567</v>
      </c>
      <c r="G83" s="47">
        <v>21565</v>
      </c>
      <c r="H83" s="47">
        <v>2316</v>
      </c>
      <c r="I83" s="48">
        <v>0.91</v>
      </c>
      <c r="J83" s="49">
        <v>8.2500000000000004E-2</v>
      </c>
      <c r="K83" s="50">
        <v>1183.72</v>
      </c>
      <c r="L83" s="51">
        <v>19531.41</v>
      </c>
      <c r="M83" s="37">
        <v>191</v>
      </c>
      <c r="N83" s="50"/>
      <c r="O83" s="49">
        <v>8.2500000000000004E-2</v>
      </c>
      <c r="P83" s="51">
        <v>9292.8799999999992</v>
      </c>
      <c r="Q83" s="51">
        <f>Table1[[#This Row],['# Hours Assigned]]/Table1[[#This Row],[Revenue]]</f>
        <v>0.12737924088119076</v>
      </c>
      <c r="R83" s="50">
        <v>16</v>
      </c>
      <c r="S83" s="51">
        <v>2.1</v>
      </c>
      <c r="T83" s="51">
        <v>48.65</v>
      </c>
      <c r="U83" s="50">
        <v>6</v>
      </c>
      <c r="V83" s="52">
        <v>5</v>
      </c>
      <c r="W83" s="50">
        <v>0</v>
      </c>
      <c r="X83" s="38"/>
    </row>
    <row r="84" spans="1:24" x14ac:dyDescent="0.25">
      <c r="A84" s="15">
        <v>45747</v>
      </c>
      <c r="B84" s="16" t="s">
        <v>21</v>
      </c>
      <c r="C84" s="16" t="s">
        <v>27</v>
      </c>
      <c r="D84" s="16" t="s">
        <v>27</v>
      </c>
      <c r="E84" s="16" t="s">
        <v>23</v>
      </c>
      <c r="F84" s="53">
        <v>3624</v>
      </c>
      <c r="G84" s="53">
        <v>27986</v>
      </c>
      <c r="H84" s="53">
        <v>2601</v>
      </c>
      <c r="I84" s="54">
        <v>0.95</v>
      </c>
      <c r="J84" s="55">
        <v>8.4199999999999997E-2</v>
      </c>
      <c r="K84" s="56">
        <v>1458.36</v>
      </c>
      <c r="L84" s="57">
        <v>24062.86</v>
      </c>
      <c r="M84" s="40">
        <v>219</v>
      </c>
      <c r="N84" s="56"/>
      <c r="O84" s="55">
        <v>8.4199999999999997E-2</v>
      </c>
      <c r="P84" s="57">
        <v>9810.2900000000009</v>
      </c>
      <c r="Q84" s="57">
        <f>Table1[[#This Row],['# Hours Assigned]]/Table1[[#This Row],[Revenue]]</f>
        <v>0.14865615593422821</v>
      </c>
      <c r="R84" s="56">
        <v>18</v>
      </c>
      <c r="S84" s="57">
        <v>2.4500000000000002</v>
      </c>
      <c r="T84" s="57">
        <v>44.8</v>
      </c>
      <c r="U84" s="56">
        <v>14</v>
      </c>
      <c r="V84" s="52">
        <v>8</v>
      </c>
      <c r="W84" s="56">
        <v>1</v>
      </c>
      <c r="X84" s="38"/>
    </row>
    <row r="85" spans="1:24" x14ac:dyDescent="0.25">
      <c r="A85" s="7">
        <v>45747</v>
      </c>
      <c r="B85" s="8" t="s">
        <v>21</v>
      </c>
      <c r="C85" s="8" t="s">
        <v>30</v>
      </c>
      <c r="D85" s="8" t="s">
        <v>30</v>
      </c>
      <c r="E85" s="8" t="s">
        <v>23</v>
      </c>
      <c r="F85" s="47">
        <v>4217</v>
      </c>
      <c r="G85" s="47">
        <v>29984</v>
      </c>
      <c r="H85" s="47">
        <v>2083</v>
      </c>
      <c r="I85" s="48">
        <v>0.91</v>
      </c>
      <c r="J85" s="49">
        <v>5.33E-2</v>
      </c>
      <c r="K85" s="50">
        <v>1155.8499999999999</v>
      </c>
      <c r="L85" s="51">
        <v>19071.560000000001</v>
      </c>
      <c r="M85" s="37">
        <v>111</v>
      </c>
      <c r="N85" s="58"/>
      <c r="O85" s="49">
        <v>5.33E-2</v>
      </c>
      <c r="P85" s="51">
        <v>5057.5</v>
      </c>
      <c r="Q85" s="51">
        <f>Table1[[#This Row],['# Hours Assigned]]/Table1[[#This Row],[Revenue]]</f>
        <v>0.22854176964903608</v>
      </c>
      <c r="R85" s="50">
        <v>7</v>
      </c>
      <c r="S85" s="51">
        <v>3.77</v>
      </c>
      <c r="T85" s="51">
        <v>45.56</v>
      </c>
      <c r="U85" s="50">
        <v>1</v>
      </c>
      <c r="V85" s="52">
        <v>0</v>
      </c>
      <c r="W85" s="50">
        <v>0</v>
      </c>
      <c r="X85" s="38"/>
    </row>
    <row r="86" spans="1:24" x14ac:dyDescent="0.25">
      <c r="A86" s="15">
        <v>45747</v>
      </c>
      <c r="B86" s="16" t="s">
        <v>21</v>
      </c>
      <c r="C86" s="16" t="s">
        <v>50</v>
      </c>
      <c r="D86" s="16" t="s">
        <v>26</v>
      </c>
      <c r="E86" s="16" t="s">
        <v>23</v>
      </c>
      <c r="F86" s="53">
        <v>6261</v>
      </c>
      <c r="G86" s="53">
        <v>12088</v>
      </c>
      <c r="H86" s="56">
        <v>954</v>
      </c>
      <c r="I86" s="54">
        <v>0.98</v>
      </c>
      <c r="J86" s="55">
        <v>9.64E-2</v>
      </c>
      <c r="K86" s="56">
        <v>983.6</v>
      </c>
      <c r="L86" s="57">
        <v>16229.44</v>
      </c>
      <c r="M86" s="40">
        <v>92</v>
      </c>
      <c r="N86" s="56"/>
      <c r="O86" s="55">
        <v>9.64E-2</v>
      </c>
      <c r="P86" s="57">
        <v>4540.95</v>
      </c>
      <c r="Q86" s="57">
        <f>Table1[[#This Row],['# Hours Assigned]]/Table1[[#This Row],[Revenue]]</f>
        <v>0.21660665719728253</v>
      </c>
      <c r="R86" s="56">
        <v>6</v>
      </c>
      <c r="S86" s="57">
        <v>3.57</v>
      </c>
      <c r="T86" s="57">
        <v>49.36</v>
      </c>
      <c r="U86" s="56">
        <v>3</v>
      </c>
      <c r="V86" s="52">
        <v>0</v>
      </c>
      <c r="W86" s="56">
        <v>0</v>
      </c>
      <c r="X86" s="38"/>
    </row>
    <row r="87" spans="1:24" x14ac:dyDescent="0.25">
      <c r="A87" s="7">
        <v>45747</v>
      </c>
      <c r="B87" s="8" t="s">
        <v>21</v>
      </c>
      <c r="C87" s="8" t="s">
        <v>28</v>
      </c>
      <c r="D87" s="8" t="s">
        <v>51</v>
      </c>
      <c r="E87" s="8" t="s">
        <v>23</v>
      </c>
      <c r="F87" s="47">
        <v>3501</v>
      </c>
      <c r="G87" s="47">
        <v>74008</v>
      </c>
      <c r="H87" s="47">
        <v>1561</v>
      </c>
      <c r="I87" s="48">
        <v>0.67</v>
      </c>
      <c r="J87" s="49">
        <v>3.5200000000000002E-2</v>
      </c>
      <c r="K87" s="50">
        <v>1210.3399999999999</v>
      </c>
      <c r="L87" s="51">
        <v>19970.61</v>
      </c>
      <c r="M87" s="37">
        <v>55</v>
      </c>
      <c r="N87" s="50"/>
      <c r="O87" s="49">
        <v>3.5200000000000002E-2</v>
      </c>
      <c r="P87" s="51">
        <v>2900.99</v>
      </c>
      <c r="Q87" s="51">
        <f>Table1[[#This Row],['# Hours Assigned]]/Table1[[#This Row],[Revenue]]</f>
        <v>0.4172161917138632</v>
      </c>
      <c r="R87" s="50">
        <v>0</v>
      </c>
      <c r="S87" s="51">
        <v>6.88</v>
      </c>
      <c r="T87" s="51">
        <v>52.75</v>
      </c>
      <c r="U87" s="50">
        <v>4</v>
      </c>
      <c r="V87" s="52">
        <v>1</v>
      </c>
      <c r="W87" s="50">
        <v>0</v>
      </c>
      <c r="X87" s="38"/>
    </row>
    <row r="88" spans="1:24" x14ac:dyDescent="0.25">
      <c r="A88" s="15">
        <v>45747</v>
      </c>
      <c r="B88" s="16" t="s">
        <v>21</v>
      </c>
      <c r="C88" s="16" t="s">
        <v>52</v>
      </c>
      <c r="D88" s="16" t="s">
        <v>53</v>
      </c>
      <c r="E88" s="16" t="s">
        <v>23</v>
      </c>
      <c r="F88" s="56">
        <v>0</v>
      </c>
      <c r="G88" s="56">
        <v>0</v>
      </c>
      <c r="H88" s="56">
        <v>102</v>
      </c>
      <c r="I88" s="54">
        <v>0</v>
      </c>
      <c r="J88" s="55">
        <v>0.24510000000000001</v>
      </c>
      <c r="K88" s="56">
        <v>0</v>
      </c>
      <c r="L88" s="57">
        <v>0</v>
      </c>
      <c r="M88" s="40">
        <v>25</v>
      </c>
      <c r="N88" s="56"/>
      <c r="O88" s="55">
        <v>0.24510000000000001</v>
      </c>
      <c r="P88" s="57">
        <v>609</v>
      </c>
      <c r="Q88" s="57">
        <f>Table1[[#This Row],['# Hours Assigned]]/Table1[[#This Row],[Revenue]]</f>
        <v>0</v>
      </c>
      <c r="R88" s="56">
        <v>0</v>
      </c>
      <c r="S88" s="56">
        <v>0</v>
      </c>
      <c r="T88" s="57">
        <v>24.36</v>
      </c>
      <c r="U88" s="56">
        <v>1</v>
      </c>
      <c r="V88" s="52">
        <v>0</v>
      </c>
      <c r="W88" s="56">
        <v>0</v>
      </c>
      <c r="X88" s="38"/>
    </row>
    <row r="89" spans="1:24" x14ac:dyDescent="0.25">
      <c r="A89" s="7">
        <v>45747</v>
      </c>
      <c r="B89" s="8" t="s">
        <v>21</v>
      </c>
      <c r="C89" s="8" t="s">
        <v>54</v>
      </c>
      <c r="D89" s="8" t="s">
        <v>54</v>
      </c>
      <c r="E89" s="8" t="s">
        <v>23</v>
      </c>
      <c r="F89" s="47">
        <v>18968</v>
      </c>
      <c r="G89" s="47">
        <v>188857</v>
      </c>
      <c r="H89" s="47">
        <v>3819</v>
      </c>
      <c r="I89" s="48">
        <v>0.84</v>
      </c>
      <c r="J89" s="49">
        <v>6.0000000000000001E-3</v>
      </c>
      <c r="K89" s="50">
        <v>2090.7800000000002</v>
      </c>
      <c r="L89" s="51">
        <v>34497.879999999997</v>
      </c>
      <c r="M89" s="37">
        <v>23</v>
      </c>
      <c r="N89" s="50"/>
      <c r="O89" s="49">
        <v>6.0000000000000001E-3</v>
      </c>
      <c r="P89" s="51">
        <v>672</v>
      </c>
      <c r="Q89" s="51">
        <f>Table1[[#This Row],['# Hours Assigned]]/Table1[[#This Row],[Revenue]]</f>
        <v>3.1112797619047621</v>
      </c>
      <c r="R89" s="50">
        <v>0</v>
      </c>
      <c r="S89" s="51">
        <v>51.34</v>
      </c>
      <c r="T89" s="51">
        <v>29.22</v>
      </c>
      <c r="U89" s="50">
        <v>1</v>
      </c>
      <c r="V89" s="52">
        <v>1</v>
      </c>
      <c r="W89" s="50">
        <v>0</v>
      </c>
      <c r="X89" s="38"/>
    </row>
    <row r="90" spans="1:24" x14ac:dyDescent="0.25">
      <c r="A90" s="15">
        <v>45747</v>
      </c>
      <c r="B90" s="16" t="s">
        <v>21</v>
      </c>
      <c r="C90" s="16" t="s">
        <v>64</v>
      </c>
      <c r="D90" s="16" t="s">
        <v>64</v>
      </c>
      <c r="E90" s="16" t="s">
        <v>23</v>
      </c>
      <c r="F90" s="53">
        <v>29907</v>
      </c>
      <c r="G90" s="53">
        <v>197454</v>
      </c>
      <c r="H90" s="53">
        <v>4993</v>
      </c>
      <c r="I90" s="54">
        <v>0.44</v>
      </c>
      <c r="J90" s="55">
        <v>3.3999999999999998E-3</v>
      </c>
      <c r="K90" s="56">
        <v>1228.56</v>
      </c>
      <c r="L90" s="57">
        <v>20271.169999999998</v>
      </c>
      <c r="M90" s="40">
        <v>17</v>
      </c>
      <c r="N90" s="56"/>
      <c r="O90" s="55">
        <v>3.3999999999999998E-3</v>
      </c>
      <c r="P90" s="57">
        <v>425</v>
      </c>
      <c r="Q90" s="57">
        <f>Table1[[#This Row],['# Hours Assigned]]/Table1[[#This Row],[Revenue]]</f>
        <v>2.8907294117647058</v>
      </c>
      <c r="R90" s="56">
        <v>6</v>
      </c>
      <c r="S90" s="57">
        <v>47.7</v>
      </c>
      <c r="T90" s="57">
        <v>25</v>
      </c>
      <c r="U90" s="56">
        <v>0</v>
      </c>
      <c r="V90" s="52">
        <v>0</v>
      </c>
      <c r="W90" s="56">
        <v>0</v>
      </c>
      <c r="X90" s="38"/>
    </row>
    <row r="91" spans="1:24" x14ac:dyDescent="0.25">
      <c r="A91" s="7">
        <v>45747</v>
      </c>
      <c r="B91" s="8" t="s">
        <v>21</v>
      </c>
      <c r="C91" s="50" t="s">
        <v>55</v>
      </c>
      <c r="D91" s="8" t="s">
        <v>56</v>
      </c>
      <c r="E91" s="23" t="s">
        <v>38</v>
      </c>
      <c r="F91" s="47">
        <v>117192</v>
      </c>
      <c r="G91" s="47">
        <v>239327</v>
      </c>
      <c r="H91" s="47">
        <v>14935</v>
      </c>
      <c r="I91" s="48">
        <v>0.16</v>
      </c>
      <c r="J91" s="49">
        <v>1.8E-3</v>
      </c>
      <c r="K91" s="50">
        <v>4264.1099999999997</v>
      </c>
      <c r="L91" s="51">
        <v>70357.89</v>
      </c>
      <c r="M91" s="37"/>
      <c r="N91" s="37">
        <v>27</v>
      </c>
      <c r="O91" s="49">
        <v>0</v>
      </c>
      <c r="P91" s="51">
        <v>867</v>
      </c>
      <c r="Q91" s="51">
        <f>Table1[[#This Row],['# Hours Assigned]]/Table1[[#This Row],[Revenue]]</f>
        <v>4.9182352941176468</v>
      </c>
      <c r="R91" s="50">
        <v>13</v>
      </c>
      <c r="S91" s="51">
        <v>81.150000000000006</v>
      </c>
      <c r="T91" s="50">
        <v>0</v>
      </c>
      <c r="U91" s="50">
        <v>0</v>
      </c>
      <c r="V91" s="52">
        <v>0</v>
      </c>
      <c r="W91" s="50">
        <v>0</v>
      </c>
      <c r="X91" s="38"/>
    </row>
    <row r="92" spans="1:24" x14ac:dyDescent="0.25">
      <c r="A92" s="15">
        <v>45747</v>
      </c>
      <c r="B92" s="16" t="s">
        <v>21</v>
      </c>
      <c r="C92" s="16" t="s">
        <v>39</v>
      </c>
      <c r="D92" s="16" t="s">
        <v>57</v>
      </c>
      <c r="E92" s="16" t="s">
        <v>33</v>
      </c>
      <c r="F92" s="53">
        <v>7838</v>
      </c>
      <c r="G92" s="53">
        <v>9050</v>
      </c>
      <c r="H92" s="53">
        <v>1197</v>
      </c>
      <c r="I92" s="54">
        <v>0.98</v>
      </c>
      <c r="J92" s="55">
        <v>0.28989999999999999</v>
      </c>
      <c r="K92" s="56">
        <v>641.63</v>
      </c>
      <c r="L92" s="57">
        <v>10586.87</v>
      </c>
      <c r="M92" s="40"/>
      <c r="N92" s="40">
        <v>347</v>
      </c>
      <c r="O92" s="55">
        <v>0.28989999999999999</v>
      </c>
      <c r="P92" s="57">
        <v>22032.720000000001</v>
      </c>
      <c r="Q92" s="57">
        <f>Table1[[#This Row],['# Hours Assigned]]/Table1[[#This Row],[Revenue]]</f>
        <v>2.9121688107505563E-2</v>
      </c>
      <c r="R92" s="56">
        <v>12</v>
      </c>
      <c r="S92" s="57">
        <v>0.48</v>
      </c>
      <c r="T92" s="57">
        <v>63.49</v>
      </c>
      <c r="U92" s="56">
        <v>13</v>
      </c>
      <c r="V92" s="52">
        <v>0</v>
      </c>
      <c r="W92" s="56">
        <v>0</v>
      </c>
      <c r="X92" s="38"/>
    </row>
    <row r="93" spans="1:24" x14ac:dyDescent="0.25">
      <c r="A93" s="7">
        <v>45747</v>
      </c>
      <c r="B93" s="8" t="s">
        <v>21</v>
      </c>
      <c r="C93" s="8" t="s">
        <v>58</v>
      </c>
      <c r="D93" s="8" t="s">
        <v>32</v>
      </c>
      <c r="E93" s="8" t="s">
        <v>33</v>
      </c>
      <c r="F93" s="47">
        <v>3795</v>
      </c>
      <c r="G93" s="47">
        <v>14685</v>
      </c>
      <c r="H93" s="47">
        <v>1462</v>
      </c>
      <c r="I93" s="48">
        <v>0.91</v>
      </c>
      <c r="J93" s="49">
        <v>0.40770000000000001</v>
      </c>
      <c r="K93" s="50">
        <v>675.05</v>
      </c>
      <c r="L93" s="51">
        <v>11138.4</v>
      </c>
      <c r="M93" s="37"/>
      <c r="N93" s="37">
        <v>596</v>
      </c>
      <c r="O93" s="49">
        <v>0.40770000000000001</v>
      </c>
      <c r="P93" s="51">
        <v>15668.22</v>
      </c>
      <c r="Q93" s="51">
        <f>Table1[[#This Row],['# Hours Assigned]]/Table1[[#This Row],[Revenue]]</f>
        <v>4.3084026136983013E-2</v>
      </c>
      <c r="R93" s="50">
        <v>0</v>
      </c>
      <c r="S93" s="51">
        <v>0.71</v>
      </c>
      <c r="T93" s="51">
        <v>26.29</v>
      </c>
      <c r="U93" s="50">
        <v>0</v>
      </c>
      <c r="V93" s="52">
        <v>0</v>
      </c>
      <c r="W93" s="50">
        <v>0</v>
      </c>
      <c r="X93" s="38"/>
    </row>
    <row r="94" spans="1:24" x14ac:dyDescent="0.25">
      <c r="A94" s="15">
        <v>45747</v>
      </c>
      <c r="B94" s="16" t="s">
        <v>21</v>
      </c>
      <c r="C94" s="16" t="s">
        <v>43</v>
      </c>
      <c r="D94" s="16" t="s">
        <v>32</v>
      </c>
      <c r="E94" s="16" t="s">
        <v>33</v>
      </c>
      <c r="F94" s="56">
        <v>404</v>
      </c>
      <c r="G94" s="56">
        <v>427</v>
      </c>
      <c r="H94" s="56">
        <v>52</v>
      </c>
      <c r="I94" s="54">
        <v>0.49</v>
      </c>
      <c r="J94" s="55">
        <v>0</v>
      </c>
      <c r="K94" s="56">
        <v>27.37</v>
      </c>
      <c r="L94" s="57">
        <v>451.62</v>
      </c>
      <c r="M94" s="40"/>
      <c r="N94" s="40">
        <v>0</v>
      </c>
      <c r="O94" s="55">
        <v>0</v>
      </c>
      <c r="P94" s="57">
        <v>0</v>
      </c>
      <c r="Q94" s="57" t="e">
        <f>Table1[[#This Row],['# Hours Assigned]]/Table1[[#This Row],[Revenue]]</f>
        <v>#DIV/0!</v>
      </c>
      <c r="R94" s="56">
        <v>0</v>
      </c>
      <c r="S94" s="56" t="s">
        <v>42</v>
      </c>
      <c r="T94" s="56">
        <v>0</v>
      </c>
      <c r="U94" s="56">
        <v>0</v>
      </c>
      <c r="V94" s="52">
        <v>0</v>
      </c>
      <c r="W94" s="56">
        <v>0</v>
      </c>
      <c r="X94" s="38"/>
    </row>
    <row r="95" spans="1:24" x14ac:dyDescent="0.25">
      <c r="A95" s="7">
        <v>45747</v>
      </c>
      <c r="B95" s="8" t="s">
        <v>21</v>
      </c>
      <c r="C95" s="8" t="s">
        <v>59</v>
      </c>
      <c r="D95" s="8" t="s">
        <v>32</v>
      </c>
      <c r="E95" s="8" t="s">
        <v>33</v>
      </c>
      <c r="F95" s="50">
        <v>308</v>
      </c>
      <c r="G95" s="47">
        <v>2041</v>
      </c>
      <c r="H95" s="50">
        <v>920</v>
      </c>
      <c r="I95" s="48">
        <v>0.21</v>
      </c>
      <c r="J95" s="49">
        <v>0.1913</v>
      </c>
      <c r="K95" s="50">
        <v>47.3</v>
      </c>
      <c r="L95" s="51">
        <v>780.42</v>
      </c>
      <c r="M95" s="37"/>
      <c r="N95" s="37">
        <v>176</v>
      </c>
      <c r="O95" s="49">
        <v>0.1913</v>
      </c>
      <c r="P95" s="51">
        <v>2456.71</v>
      </c>
      <c r="Q95" s="51">
        <f>Table1[[#This Row],['# Hours Assigned]]/Table1[[#This Row],[Revenue]]</f>
        <v>1.9253391731217765E-2</v>
      </c>
      <c r="R95" s="50">
        <v>0</v>
      </c>
      <c r="S95" s="50"/>
      <c r="T95" s="51">
        <v>13.96</v>
      </c>
      <c r="U95" s="50">
        <v>0</v>
      </c>
      <c r="V95" s="52">
        <v>0</v>
      </c>
      <c r="W95" s="50">
        <v>0</v>
      </c>
      <c r="X95" s="38"/>
    </row>
    <row r="96" spans="1:24" x14ac:dyDescent="0.25">
      <c r="A96" s="15">
        <v>45747</v>
      </c>
      <c r="B96" s="16" t="s">
        <v>21</v>
      </c>
      <c r="C96" s="16" t="s">
        <v>31</v>
      </c>
      <c r="D96" s="16" t="s">
        <v>32</v>
      </c>
      <c r="E96" s="16" t="s">
        <v>33</v>
      </c>
      <c r="F96" s="53">
        <v>2722</v>
      </c>
      <c r="G96" s="53">
        <v>10480</v>
      </c>
      <c r="H96" s="53">
        <v>1467</v>
      </c>
      <c r="I96" s="54">
        <v>0.95</v>
      </c>
      <c r="J96" s="55">
        <v>0</v>
      </c>
      <c r="K96" s="56">
        <v>652.95000000000005</v>
      </c>
      <c r="L96" s="57">
        <v>10773.61</v>
      </c>
      <c r="M96" s="40"/>
      <c r="N96" s="40">
        <v>0</v>
      </c>
      <c r="O96" s="55">
        <v>0</v>
      </c>
      <c r="P96" s="57">
        <v>0</v>
      </c>
      <c r="Q96" s="57" t="e">
        <f>Table1[[#This Row],['# Hours Assigned]]/Table1[[#This Row],[Revenue]]</f>
        <v>#DIV/0!</v>
      </c>
      <c r="R96" s="56">
        <v>0</v>
      </c>
      <c r="S96" s="56" t="s">
        <v>42</v>
      </c>
      <c r="T96" s="56">
        <v>0</v>
      </c>
      <c r="U96" s="56">
        <v>0</v>
      </c>
      <c r="V96" s="52">
        <v>0</v>
      </c>
      <c r="W96" s="56">
        <v>0</v>
      </c>
      <c r="X96" s="38"/>
    </row>
    <row r="97" spans="1:24" x14ac:dyDescent="0.25">
      <c r="A97" s="7">
        <v>45747</v>
      </c>
      <c r="B97" s="8" t="s">
        <v>21</v>
      </c>
      <c r="C97" s="8" t="s">
        <v>34</v>
      </c>
      <c r="D97" s="23" t="s">
        <v>35</v>
      </c>
      <c r="E97" s="23" t="s">
        <v>33</v>
      </c>
      <c r="F97" s="47">
        <v>5803</v>
      </c>
      <c r="G97" s="47">
        <v>18900</v>
      </c>
      <c r="H97" s="47">
        <v>2004</v>
      </c>
      <c r="I97" s="48">
        <v>0.94</v>
      </c>
      <c r="J97" s="49">
        <v>1.2E-2</v>
      </c>
      <c r="K97" s="50">
        <v>504.28</v>
      </c>
      <c r="L97" s="51">
        <v>8320.69</v>
      </c>
      <c r="M97" s="37"/>
      <c r="N97" s="37">
        <v>24</v>
      </c>
      <c r="O97" s="49">
        <v>1.2E-2</v>
      </c>
      <c r="P97" s="51">
        <v>445.81</v>
      </c>
      <c r="Q97" s="51">
        <f>Table1[[#This Row],['# Hours Assigned]]/Table1[[#This Row],[Revenue]]</f>
        <v>1.1311545277135999</v>
      </c>
      <c r="R97" s="50">
        <v>36</v>
      </c>
      <c r="S97" s="51">
        <v>18.66</v>
      </c>
      <c r="T97" s="51">
        <v>18.579999999999998</v>
      </c>
      <c r="U97" s="50">
        <v>11</v>
      </c>
      <c r="V97" s="52">
        <v>6</v>
      </c>
      <c r="W97" s="50">
        <v>3</v>
      </c>
      <c r="X97" s="38"/>
    </row>
    <row r="98" spans="1:24" s="69" customFormat="1" x14ac:dyDescent="0.25">
      <c r="A98" s="59">
        <v>45747</v>
      </c>
      <c r="B98" s="45" t="s">
        <v>21</v>
      </c>
      <c r="C98" s="45" t="s">
        <v>36</v>
      </c>
      <c r="D98" s="45" t="s">
        <v>37</v>
      </c>
      <c r="E98" s="31" t="s">
        <v>38</v>
      </c>
      <c r="F98" s="60">
        <v>4247</v>
      </c>
      <c r="G98" s="60">
        <v>108128</v>
      </c>
      <c r="H98" s="60">
        <v>2521</v>
      </c>
      <c r="I98" s="61">
        <v>0.92</v>
      </c>
      <c r="J98" s="62">
        <v>0.2828</v>
      </c>
      <c r="K98" s="63">
        <v>811.23</v>
      </c>
      <c r="L98" s="64">
        <v>13385.27</v>
      </c>
      <c r="M98" s="65"/>
      <c r="N98" s="65">
        <v>713</v>
      </c>
      <c r="O98" s="62">
        <v>0.2828</v>
      </c>
      <c r="P98" s="65">
        <v>4646.8599999999997</v>
      </c>
      <c r="Q98" s="66">
        <f>Table1[[#This Row],['# Hours Assigned]]/Table1[[#This Row],[Revenue]]</f>
        <v>0.17457595021154071</v>
      </c>
      <c r="R98" s="63">
        <v>0</v>
      </c>
      <c r="S98" s="64">
        <v>2.88</v>
      </c>
      <c r="T98" s="64">
        <v>6.52</v>
      </c>
      <c r="U98" s="63">
        <v>479</v>
      </c>
      <c r="V98" s="67">
        <v>285</v>
      </c>
      <c r="W98" s="63">
        <v>80</v>
      </c>
      <c r="X98" s="68"/>
    </row>
    <row r="99" spans="1:24" x14ac:dyDescent="0.25">
      <c r="A99" s="7">
        <v>45747</v>
      </c>
      <c r="B99" s="8" t="s">
        <v>21</v>
      </c>
      <c r="C99" s="8" t="s">
        <v>40</v>
      </c>
      <c r="D99" s="8" t="s">
        <v>60</v>
      </c>
      <c r="E99" s="8" t="s">
        <v>38</v>
      </c>
      <c r="F99" s="47">
        <v>7085</v>
      </c>
      <c r="G99" s="47">
        <v>7274</v>
      </c>
      <c r="H99" s="50">
        <v>949</v>
      </c>
      <c r="I99" s="48">
        <v>0.27</v>
      </c>
      <c r="J99" s="49">
        <v>5.8000000000000003E-2</v>
      </c>
      <c r="K99" s="50">
        <v>400.28</v>
      </c>
      <c r="L99" s="51">
        <v>6604.67</v>
      </c>
      <c r="M99" s="37"/>
      <c r="N99" s="37">
        <v>55</v>
      </c>
      <c r="O99" s="49">
        <v>5.8000000000000003E-2</v>
      </c>
      <c r="P99" s="51">
        <v>1308</v>
      </c>
      <c r="Q99" s="51">
        <f>Table1[[#This Row],['# Hours Assigned]]/Table1[[#This Row],[Revenue]]</f>
        <v>0.30602446483180429</v>
      </c>
      <c r="R99" s="50">
        <v>310</v>
      </c>
      <c r="S99" s="51">
        <v>5.05</v>
      </c>
      <c r="T99" s="51">
        <v>23.78</v>
      </c>
      <c r="U99" s="50">
        <v>7</v>
      </c>
      <c r="V99" s="52">
        <v>0</v>
      </c>
      <c r="W99" s="50">
        <v>0</v>
      </c>
      <c r="X99" s="38"/>
    </row>
    <row r="100" spans="1:24" x14ac:dyDescent="0.25">
      <c r="A100" s="15">
        <v>45747</v>
      </c>
      <c r="B100" s="16" t="s">
        <v>21</v>
      </c>
      <c r="C100" s="16" t="s">
        <v>46</v>
      </c>
      <c r="D100" s="16" t="s">
        <v>61</v>
      </c>
      <c r="E100" s="16" t="s">
        <v>38</v>
      </c>
      <c r="F100" s="56">
        <v>0</v>
      </c>
      <c r="G100" s="53">
        <v>188534</v>
      </c>
      <c r="H100" s="53">
        <v>15608</v>
      </c>
      <c r="I100" s="54">
        <v>0.86</v>
      </c>
      <c r="J100" s="55">
        <v>0</v>
      </c>
      <c r="K100" s="56">
        <v>1543.38</v>
      </c>
      <c r="L100" s="57">
        <v>25465.79</v>
      </c>
      <c r="M100" s="40"/>
      <c r="N100" s="40">
        <v>0</v>
      </c>
      <c r="O100" s="55">
        <v>0</v>
      </c>
      <c r="P100" s="57">
        <v>0</v>
      </c>
      <c r="Q100" s="57" t="e">
        <f>Table1[[#This Row],['# Hours Assigned]]/Table1[[#This Row],[Revenue]]</f>
        <v>#DIV/0!</v>
      </c>
      <c r="R100" s="56">
        <v>0</v>
      </c>
      <c r="S100" s="56" t="s">
        <v>42</v>
      </c>
      <c r="T100" s="56">
        <v>0</v>
      </c>
      <c r="U100" s="56">
        <v>0</v>
      </c>
      <c r="V100" s="52">
        <v>0</v>
      </c>
      <c r="W100" s="56">
        <v>0</v>
      </c>
      <c r="X100" s="38"/>
    </row>
    <row r="101" spans="1:24" x14ac:dyDescent="0.25">
      <c r="A101" s="7">
        <v>45747</v>
      </c>
      <c r="B101" s="8" t="s">
        <v>21</v>
      </c>
      <c r="C101" s="8" t="s">
        <v>62</v>
      </c>
      <c r="D101" s="8" t="s">
        <v>32</v>
      </c>
      <c r="E101" s="8" t="s">
        <v>33</v>
      </c>
      <c r="F101" s="47">
        <v>2374</v>
      </c>
      <c r="G101" s="47">
        <v>15741</v>
      </c>
      <c r="H101" s="47">
        <v>1940</v>
      </c>
      <c r="I101" s="48">
        <v>0.85</v>
      </c>
      <c r="J101" s="49">
        <v>0.26240000000000002</v>
      </c>
      <c r="K101" s="50">
        <v>480.04</v>
      </c>
      <c r="L101" s="51">
        <v>7920.74</v>
      </c>
      <c r="M101" s="37"/>
      <c r="N101" s="37">
        <v>509</v>
      </c>
      <c r="O101" s="49">
        <v>0.26240000000000002</v>
      </c>
      <c r="P101" s="51">
        <v>29126.81</v>
      </c>
      <c r="Q101" s="51">
        <f>Table1[[#This Row],['# Hours Assigned]]/Table1[[#This Row],[Revenue]]</f>
        <v>1.6481035856655776E-2</v>
      </c>
      <c r="R101" s="50">
        <v>0</v>
      </c>
      <c r="S101" s="51">
        <v>0.27</v>
      </c>
      <c r="T101" s="51">
        <v>57.22</v>
      </c>
      <c r="U101" s="50">
        <v>0</v>
      </c>
      <c r="V101" s="52">
        <v>0</v>
      </c>
      <c r="W101" s="50">
        <v>0</v>
      </c>
      <c r="X101" s="38"/>
    </row>
    <row r="102" spans="1:24" x14ac:dyDescent="0.25">
      <c r="A102" s="70">
        <v>45747</v>
      </c>
      <c r="B102" s="71" t="s">
        <v>21</v>
      </c>
      <c r="C102" s="71" t="s">
        <v>63</v>
      </c>
      <c r="D102" s="71" t="s">
        <v>63</v>
      </c>
      <c r="E102" s="71" t="s">
        <v>38</v>
      </c>
      <c r="F102" s="72">
        <v>0</v>
      </c>
      <c r="G102" s="72">
        <v>0</v>
      </c>
      <c r="H102" s="72">
        <v>1</v>
      </c>
      <c r="I102" s="73">
        <v>0</v>
      </c>
      <c r="J102" s="74">
        <v>0</v>
      </c>
      <c r="K102" s="72">
        <v>0</v>
      </c>
      <c r="L102" s="75">
        <v>0</v>
      </c>
      <c r="M102" s="76"/>
      <c r="N102" s="76">
        <v>0</v>
      </c>
      <c r="O102" s="74">
        <v>0</v>
      </c>
      <c r="P102" s="75">
        <v>0</v>
      </c>
      <c r="Q102" s="75" t="e">
        <f>Table1[[#This Row],['# Hours Assigned]]/Table1[[#This Row],[Revenue]]</f>
        <v>#DIV/0!</v>
      </c>
      <c r="R102" s="72">
        <v>0</v>
      </c>
      <c r="S102" s="72" t="s">
        <v>42</v>
      </c>
      <c r="T102" s="75">
        <v>0</v>
      </c>
      <c r="U102" s="72">
        <v>0</v>
      </c>
      <c r="V102" s="77">
        <v>0</v>
      </c>
      <c r="W102" s="72">
        <v>0</v>
      </c>
      <c r="X102" s="78"/>
    </row>
    <row r="103" spans="1:24" x14ac:dyDescent="0.25">
      <c r="D103" s="6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976D-DA63-4580-B2F2-3A198C1D3074}">
  <dimension ref="J13:L39"/>
  <sheetViews>
    <sheetView topLeftCell="K11" workbookViewId="0">
      <selection activeCell="Z44" sqref="Z44"/>
    </sheetView>
  </sheetViews>
  <sheetFormatPr defaultRowHeight="15" x14ac:dyDescent="0.25"/>
  <cols>
    <col min="10" max="10" width="32.85546875" bestFit="1" customWidth="1"/>
    <col min="11" max="11" width="23" bestFit="1" customWidth="1"/>
    <col min="12" max="12" width="20.42578125" bestFit="1" customWidth="1"/>
    <col min="13" max="13" width="24.42578125" bestFit="1" customWidth="1"/>
  </cols>
  <sheetData>
    <row r="13" spans="10:12" x14ac:dyDescent="0.25">
      <c r="J13" s="3" t="s">
        <v>65</v>
      </c>
      <c r="K13" t="s">
        <v>67</v>
      </c>
      <c r="L13" t="s">
        <v>68</v>
      </c>
    </row>
    <row r="14" spans="10:12" x14ac:dyDescent="0.25">
      <c r="J14" s="1" t="s">
        <v>22</v>
      </c>
      <c r="K14" s="2">
        <v>6.8600000000000008E-2</v>
      </c>
      <c r="L14" s="2">
        <v>4.5333333333333337E-3</v>
      </c>
    </row>
    <row r="15" spans="10:12" x14ac:dyDescent="0.25">
      <c r="J15" s="1" t="s">
        <v>26</v>
      </c>
      <c r="K15" s="2">
        <v>0.15290000000000001</v>
      </c>
      <c r="L15" s="2">
        <v>5.2899999999999996E-2</v>
      </c>
    </row>
    <row r="16" spans="10:12" x14ac:dyDescent="0.25">
      <c r="J16" s="1" t="s">
        <v>50</v>
      </c>
      <c r="K16" s="2">
        <v>0.10576666666666666</v>
      </c>
      <c r="L16" s="2">
        <v>0.10576666666666666</v>
      </c>
    </row>
    <row r="17" spans="10:12" x14ac:dyDescent="0.25">
      <c r="J17" s="1" t="s">
        <v>27</v>
      </c>
      <c r="K17" s="2">
        <v>7.8516666666666665E-2</v>
      </c>
      <c r="L17" s="2">
        <v>9.2649999999999996E-2</v>
      </c>
    </row>
    <row r="18" spans="10:12" x14ac:dyDescent="0.25">
      <c r="J18" s="1" t="s">
        <v>36</v>
      </c>
      <c r="K18" s="2">
        <v>0.12508333333333332</v>
      </c>
      <c r="L18" s="2">
        <v>0.11176666666666667</v>
      </c>
    </row>
    <row r="19" spans="10:12" x14ac:dyDescent="0.25">
      <c r="J19" s="1" t="s">
        <v>34</v>
      </c>
      <c r="K19" s="2">
        <v>5.6083333333333339E-2</v>
      </c>
      <c r="L19" s="2">
        <v>8.9666666666666662E-3</v>
      </c>
    </row>
    <row r="20" spans="10:12" x14ac:dyDescent="0.25">
      <c r="J20" s="1" t="s">
        <v>31</v>
      </c>
      <c r="K20" s="2">
        <v>6.8883333333333338E-2</v>
      </c>
      <c r="L20" s="2">
        <v>2.6266666666666664E-2</v>
      </c>
    </row>
    <row r="21" spans="10:12" x14ac:dyDescent="0.25">
      <c r="J21" s="1" t="s">
        <v>40</v>
      </c>
      <c r="K21" s="2">
        <v>0.13056000000000001</v>
      </c>
      <c r="L21" s="2">
        <v>7.8599999999999989E-2</v>
      </c>
    </row>
    <row r="22" spans="10:12" x14ac:dyDescent="0.25">
      <c r="J22" s="1" t="s">
        <v>28</v>
      </c>
      <c r="K22" s="2">
        <v>4.1599999999999998E-2</v>
      </c>
      <c r="L22" s="2">
        <v>3.4083333333333334E-2</v>
      </c>
    </row>
    <row r="23" spans="10:12" x14ac:dyDescent="0.25">
      <c r="J23" s="1" t="s">
        <v>29</v>
      </c>
      <c r="K23" s="2">
        <v>8.1150000000000014E-2</v>
      </c>
      <c r="L23" s="2">
        <v>0.11353333333333333</v>
      </c>
    </row>
    <row r="24" spans="10:12" x14ac:dyDescent="0.25">
      <c r="J24" s="1" t="s">
        <v>62</v>
      </c>
      <c r="K24" s="2">
        <v>0.21540000000000004</v>
      </c>
      <c r="L24" s="2">
        <v>0.21540000000000004</v>
      </c>
    </row>
    <row r="25" spans="10:12" x14ac:dyDescent="0.25">
      <c r="J25" s="1" t="s">
        <v>39</v>
      </c>
      <c r="K25" s="2">
        <v>0.1948</v>
      </c>
      <c r="L25" s="2">
        <v>0.15203333333333335</v>
      </c>
    </row>
    <row r="26" spans="10:12" x14ac:dyDescent="0.25">
      <c r="J26" s="1" t="s">
        <v>46</v>
      </c>
      <c r="K26" s="2">
        <v>9.5499999999999995E-3</v>
      </c>
      <c r="L26" s="2">
        <v>0</v>
      </c>
    </row>
    <row r="27" spans="10:12" x14ac:dyDescent="0.25">
      <c r="J27" s="1" t="s">
        <v>64</v>
      </c>
      <c r="K27" s="2">
        <v>3.3999999999999998E-3</v>
      </c>
      <c r="L27" s="2">
        <v>3.3999999999999998E-3</v>
      </c>
    </row>
    <row r="28" spans="10:12" x14ac:dyDescent="0.25">
      <c r="J28" s="1" t="s">
        <v>47</v>
      </c>
      <c r="K28" s="2" t="e">
        <v>#DIV/0!</v>
      </c>
      <c r="L28" s="2"/>
    </row>
    <row r="29" spans="10:12" x14ac:dyDescent="0.25">
      <c r="J29" s="1" t="s">
        <v>52</v>
      </c>
      <c r="K29" s="2">
        <v>9.2200000000000004E-2</v>
      </c>
      <c r="L29" s="2">
        <v>9.2200000000000004E-2</v>
      </c>
    </row>
    <row r="30" spans="10:12" x14ac:dyDescent="0.25">
      <c r="J30" s="1" t="s">
        <v>55</v>
      </c>
      <c r="K30" s="2">
        <v>5.9999999999999995E-4</v>
      </c>
      <c r="L30" s="2">
        <v>0</v>
      </c>
    </row>
    <row r="31" spans="10:12" x14ac:dyDescent="0.25">
      <c r="J31" s="1" t="s">
        <v>63</v>
      </c>
      <c r="K31" s="2">
        <v>5.7999999999999996E-3</v>
      </c>
      <c r="L31" s="2">
        <v>5.7999999999999996E-3</v>
      </c>
    </row>
    <row r="32" spans="10:12" x14ac:dyDescent="0.25">
      <c r="J32" s="1" t="s">
        <v>20</v>
      </c>
      <c r="K32" s="2">
        <v>0.11030000000000001</v>
      </c>
      <c r="L32" s="2">
        <v>7.9633333333333334E-2</v>
      </c>
    </row>
    <row r="33" spans="10:12" x14ac:dyDescent="0.25">
      <c r="J33" s="1" t="s">
        <v>58</v>
      </c>
      <c r="K33" s="2">
        <v>0.36113333333333331</v>
      </c>
      <c r="L33" s="2">
        <v>0.36113333333333331</v>
      </c>
    </row>
    <row r="34" spans="10:12" x14ac:dyDescent="0.25">
      <c r="J34" s="1" t="s">
        <v>59</v>
      </c>
      <c r="K34" s="2">
        <v>0.27743333333333337</v>
      </c>
      <c r="L34" s="2">
        <v>0.27743333333333337</v>
      </c>
    </row>
    <row r="35" spans="10:12" x14ac:dyDescent="0.25">
      <c r="J35" s="1" t="s">
        <v>43</v>
      </c>
      <c r="K35" s="2">
        <v>4.4933333333333332E-2</v>
      </c>
      <c r="L35" s="2">
        <v>0</v>
      </c>
    </row>
    <row r="36" spans="10:12" x14ac:dyDescent="0.25">
      <c r="J36" s="1" t="s">
        <v>41</v>
      </c>
      <c r="K36" s="2">
        <v>0.17899999999999996</v>
      </c>
      <c r="L36" s="2">
        <v>0</v>
      </c>
    </row>
    <row r="37" spans="10:12" x14ac:dyDescent="0.25">
      <c r="J37" s="1" t="s">
        <v>30</v>
      </c>
      <c r="K37" s="2">
        <v>5.3949999999999998E-2</v>
      </c>
      <c r="L37" s="2">
        <v>7.7566666666666673E-2</v>
      </c>
    </row>
    <row r="38" spans="10:12" x14ac:dyDescent="0.25">
      <c r="J38" s="1" t="s">
        <v>54</v>
      </c>
      <c r="K38" s="2">
        <v>2E-3</v>
      </c>
      <c r="L38" s="2">
        <v>2E-3</v>
      </c>
    </row>
    <row r="39" spans="10:12" x14ac:dyDescent="0.25">
      <c r="J39" s="1" t="s">
        <v>66</v>
      </c>
      <c r="K39" t="e">
        <v>#DIV/0!</v>
      </c>
      <c r="L39">
        <v>7.6880000000000004E-2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Wannel Joel Matos Mercedes (Ext)</dc:creator>
  <cp:lastModifiedBy>EDUARDO ALBERTO SANCHEZ LEBRON</cp:lastModifiedBy>
  <dcterms:created xsi:type="dcterms:W3CDTF">2025-04-28T18:01:47Z</dcterms:created>
  <dcterms:modified xsi:type="dcterms:W3CDTF">2025-05-02T01:18:55Z</dcterms:modified>
</cp:coreProperties>
</file>